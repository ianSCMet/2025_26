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G:\2025_26\T1\IST4000\PORT2\Group08\"/>
    </mc:Choice>
  </mc:AlternateContent>
  <xr:revisionPtr revIDLastSave="0" documentId="13_ncr:1_{276403F2-BB6C-4C4E-9342-FDBC89C6B11A}" xr6:coauthVersionLast="47" xr6:coauthVersionMax="47" xr10:uidLastSave="{00000000-0000-0000-0000-000000000000}"/>
  <bookViews>
    <workbookView xWindow="38290" yWindow="-1890" windowWidth="38620" windowHeight="21100" xr2:uid="{13D9909D-480D-0F4A-9128-EABB1A0C4E71}"/>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 i="1" l="1"/>
</calcChain>
</file>

<file path=xl/sharedStrings.xml><?xml version="1.0" encoding="utf-8"?>
<sst xmlns="http://schemas.openxmlformats.org/spreadsheetml/2006/main" count="69" uniqueCount="69">
  <si>
    <t xml:space="preserve">IST4000 Explore PORT2 Marking </t>
  </si>
  <si>
    <t xml:space="preserve">Student Number: </t>
  </si>
  <si>
    <t>Criteria</t>
  </si>
  <si>
    <t>Weight</t>
  </si>
  <si>
    <t>0–39% (Fail)</t>
  </si>
  <si>
    <t>40–49% (Pass / 3rd)</t>
  </si>
  <si>
    <t>50–59% (Lower 2:2)</t>
  </si>
  <si>
    <t>60–69% (Upper 2:1)</t>
  </si>
  <si>
    <t>70%+ (First)</t>
  </si>
  <si>
    <t>Grade</t>
  </si>
  <si>
    <t xml:space="preserve">Comments </t>
  </si>
  <si>
    <t>Introduction</t>
  </si>
  <si>
    <t>No introduction, irrelevant, or unclear. No mention of case study or aims. Poor structure.</t>
  </si>
  <si>
    <t>Very brief, limited context, case study barely referenced. Aims vague or generic.</t>
  </si>
  <si>
    <t>Adequate introduction, some context, aims mentioned but weakly justified. Organisation basic.</t>
  </si>
  <si>
    <t>Clear, structured introduction. Good explanation of case study relevance and aims. Well-written.</t>
  </si>
  <si>
    <t>Excellent, engaging introduction. Strong context-setting, sharply defined aims, well justified. Professional and academic tone.</t>
  </si>
  <si>
    <t>Research</t>
  </si>
  <si>
    <t>No research or inappropriate sources (blogs, Wikipedia). Content inaccurate/irrelevant.</t>
  </si>
  <si>
    <t>Minimal research, mostly weak websites. No academic references. Descriptive, little analysis.</t>
  </si>
  <si>
    <t>Some relevant sources, mix of websites and a few academic/professional. Limited analysis. Application weak.</t>
  </si>
  <si>
    <t>Good range of credible sources (journals, reports, books). Balanced, mostly accurate discussion. Clear links to project.</t>
  </si>
  <si>
    <t>Wide range of high-quality academic sources. Critical analysis and synthesis. Research consistently informs design. Excellent accuracy and depth.</t>
  </si>
  <si>
    <t>End User Consideration</t>
  </si>
  <si>
    <t>No evidence of adapting content for 12–14-year-olds. Materials wholly unsuitable.</t>
  </si>
  <si>
    <t>Minimal attempt to adapt content. Often too technical or simplistic. Weak engagement.</t>
  </si>
  <si>
    <t>Some effort to adapt resources. Language partly age appropriate. Engagement limited or inconsistent.</t>
  </si>
  <si>
    <t>Good awareness of target age group. Mostly clear, accessible, engaging. Strong attempt to tailor learning.</t>
  </si>
  <si>
    <t>Outstanding adaptation. Resources consistently engaging, creative, age appropriate. Deep understanding of learner needs and pedagogy.</t>
  </si>
  <si>
    <t>Design Documentation</t>
  </si>
  <si>
    <t>No evidence of planning. No sketches, storyboards, or rationale.</t>
  </si>
  <si>
    <t>Very basic planning (single sketch/outline). Little explanation of choices. Weak alignment to artefact.</t>
  </si>
  <si>
    <t>Some documentation (storyboard, outline, flowchart). Justification present but underdeveloped.</t>
  </si>
  <si>
    <t>Good quality documentation (wireframes, storyboards, prototypes). Clear rationale, links to research. Organised process.</t>
  </si>
  <si>
    <t>Comprehensive, professional documentation. Multiple artefacts (iterations, prototypes). Evidence of iterative design. Excellent justification linking research to design.</t>
  </si>
  <si>
    <t>Legal &amp; Ethical Considerations</t>
  </si>
  <si>
    <t>No awareness of ethics/legal issues. Work biased, exclusionary, or inappropriate.</t>
  </si>
  <si>
    <t>Minimal acknowledgement, generic statements (e.g., “AI has bias”). No application to project.</t>
  </si>
  <si>
    <t>Some awareness (bias, inclusivity, accessibility). Application weak or inconsistent.</t>
  </si>
  <si>
    <t>Good awareness of ethics and inclusivity. Resources fair, age-appropriate, accessible. Applied well to design.</t>
  </si>
  <si>
    <t>Excellent, critical awareness of ethics/legal issues. Thoughtful, consistent consideration of inclusivity, accessibility, and bias integrated into design and evaluation.</t>
  </si>
  <si>
    <t>Evidence of Built Project</t>
  </si>
  <si>
    <t>No artefact produced or evidence missing. Artefact irrelevant or incomplete.</t>
  </si>
  <si>
    <t>Artefact incomplete or poorly executed. Limited or unclear link to design docs.</t>
  </si>
  <si>
    <t>Functional artefact but basic. Limited creativity or polish. Some link to design documentation.</t>
  </si>
  <si>
    <t>Complete, functional, engaging artefact. Clear alignment with design documentation. Creative and usable.</t>
  </si>
  <si>
    <t>Highly polished, professional artefact. Creative, engaging, excellent execution. Strong documentation link. High usability and fit for purpose.</t>
  </si>
  <si>
    <t>Future Work</t>
  </si>
  <si>
    <t>No discussion of improvements. Work presented as “finished”.</t>
  </si>
  <si>
    <t>Minimal acknowledgement. Suggestions vague or unrealistic.</t>
  </si>
  <si>
    <t>Some recognition of limitations. Basic or generic suggestions.</t>
  </si>
  <si>
    <t>Clear recognition of strengths/weaknesses. Realistic, constructive improvements proposed.</t>
  </si>
  <si>
    <t>Critical and forward-thinking. Innovative suggestions for development. Strong awareness of limitations and growth potential.</t>
  </si>
  <si>
    <t>Individual Reflection</t>
  </si>
  <si>
    <t>No reflection submitted. Or purely descriptive (“I did X”) with no insight.</t>
  </si>
  <si>
    <t>Minimal reflection. Role vague. Little honesty or evidence of learning. Weak evaluation.</t>
  </si>
  <si>
    <t>Some reflection. Role described. Mentions skills but limited depth or critique.</t>
  </si>
  <si>
    <t>Honest, thoughtful reflection. Clear description of role, contribution, skills. Good evaluation of progress.</t>
  </si>
  <si>
    <t>Excellent, highly self-aware reflection. Deep critical evaluation of role, contribution, and skills. Strong evidence of personal/professional development.</t>
  </si>
  <si>
    <t>Total</t>
  </si>
  <si>
    <t xml:space="preserve">Need to write in academic style/Passive voice, not first-person. First-person is expected, and more helpful, for the individual reflection but for all other aspects of the work it should be third-person. Statements made that need to be backed up by references - I can see an impressive-looking reference list at the end, but where are the in-text citations to show where this information is being referenced in your document? This is quite a common thing to see at L3 and L4, but the reference is meaningless without the citation. A good example is where you mention 'Tea and Consent'. After this you should have had the author(s) and year of publication in brackets and the full reference at the end of the document. Please ask Library Services or look at Cite Them Right for guidance. It is vital that you know how to cite and reference correctly. Despite the style and lack of citations, it is a well-written Introduction that covers off the main points you are seeking to address, with justifications. </t>
  </si>
  <si>
    <t xml:space="preserve">Academic writing - Be wary of using phrases and sayings like 'teen' and 'tween'. Imagine when you're writing that you are targeting an international audience who may not know what that means, or may have a completely different meaning for that word. It's important to be clear and precise with terminology. What is the definition of 'early teens'? Maybe use that instead. Why would that demographic be less aware of scams? This is where in-text citations are important as I would expect that to be supported with evidence. You may have done this and have it as a reference, but without the citation I have no way of knowing its relevance. There is a branch of the Mental Wellbeing discussion that you seemed to veer away from - Is AI a suitable tool to use for mental wellbeing support? That has been discussed and there is data to suggest that this age group are using it for counselling/therapy. You have done a good job and some thorough research here. </t>
  </si>
  <si>
    <t>I would have liked to have seen more alignment to the tools we used in the Workshop (EIA, Empathy Maps) here as I think it may have tailored the discussion more keenly. You're stating what you're intending to do, but have you provided enough evidence that supports going in this direction? It's important to ask yourself this. The artefact needs to be supported by the Literature Review.</t>
  </si>
  <si>
    <t>Disappointing. I would have liked to have seen concept sketches, storyboards - anything to show the evolution and thought behind the artefact.</t>
  </si>
  <si>
    <t xml:space="preserve">Was colour blindness tested for? There are filters that can mimic this on a monitor. I think you have missed the mark a little here. The discussion seems to fall somewhere between the legal and ethical considerations of your project, and the considerations applied to AI. Arguably the latter would have been addressed in your research, so this area should have been addressing your project. specifically. </t>
  </si>
  <si>
    <t>Brilliant! Really enjoyed this - it was fun, informative and the art style simple but effective. The pacing was good, and it could be argued that it was balanced more to the negative, there was a good and helpful counter-balance at the end. You really worked hard on this. Well done!</t>
  </si>
  <si>
    <t>Animator notes would have been better as part of the individual reflection. Some recognition of Future Work, but I think this misses the mark and sounds more like a personal reflection. Up-scaling the animation would be a consideration, but were there any ideas that weren't implemented that could be? Could this be expanded to other mediums?</t>
  </si>
  <si>
    <t>Role clearly defined and some very honest reflection, but could go deeper. Was there anything from this experience that you feel could aid you in future  group work? You mention a need for perfectionism - If that is a reoccuring theme in your work, how might you deal with this? When reflecting, focus more on what the experience meant for you persoanlly and how you can grow from it.</t>
  </si>
  <si>
    <t>st20339501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</si>
</sst>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b/>
      <sz val="12"/>
      <color rgb="FF000000"/>
      <name val="Times New Roman"/>
      <family val="1"/>
    </font>
    <font>
      <sz val="12"/>
      <color rgb="FF000000"/>
      <name val="Times New Roman"/>
      <family val="1"/>
    </font>
    <font>
      <sz val="11"/>
      <color rgb="FF000000"/>
      <name val="Calibri"/>
      <family val="2"/>
    </font>
    <font>
      <b/>
      <sz val="14"/>
      <color rgb="FF000000"/>
      <name val="Times New Roman"/>
      <family val="1"/>
    </font>
    <font>
      <b/>
      <sz val="16"/>
      <color theme="1"/>
      <name val="Aptos Narrow"/>
      <family val="2"/>
      <scheme val="minor"/>
    </font>
    <font>
      <sz val="16"/>
      <color theme="1"/>
      <name val="Aptos Narrow"/>
      <family val="2"/>
      <scheme val="minor"/>
    </font>
  </fonts>
  <fills count="5">
    <fill>
      <patternFill patternType="none"/>
    </fill>
    <fill>
      <patternFill patternType="gray125"/>
    </fill>
    <fill>
      <patternFill patternType="solid">
        <fgColor theme="7" tint="0.59999389629810485"/>
        <bgColor indexed="64"/>
      </patternFill>
    </fill>
    <fill>
      <patternFill patternType="solid">
        <fgColor theme="0" tint="-0.14999847407452621"/>
        <bgColor indexed="64"/>
      </patternFill>
    </fill>
    <fill>
      <patternFill patternType="solid">
        <fgColor rgb="FFFFFF00"/>
        <bgColor indexed="64"/>
      </patternFill>
    </fill>
  </fills>
  <borders count="9">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s>
  <cellStyleXfs count="1">
    <xf numFmtId="0" fontId="0" fillId="0" borderId="0"/>
  </cellStyleXfs>
  <cellXfs count="26">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1" fillId="0" borderId="6" xfId="0" applyFont="1" applyBorder="1" applyAlignment="1">
      <alignment vertical="center" wrapText="1"/>
    </xf>
    <xf numFmtId="0" fontId="2" fillId="0" borderId="6" xfId="0" applyFont="1" applyBorder="1" applyAlignment="1">
      <alignment vertical="center" wrapText="1"/>
    </xf>
    <xf numFmtId="9" fontId="1" fillId="0" borderId="0" xfId="0" applyNumberFormat="1" applyFont="1" applyAlignment="1">
      <alignment vertical="center" wrapText="1"/>
    </xf>
    <xf numFmtId="0" fontId="1" fillId="2" borderId="6" xfId="0" applyFont="1" applyFill="1" applyBorder="1" applyAlignment="1">
      <alignment vertical="center" wrapText="1"/>
    </xf>
    <xf numFmtId="9" fontId="4" fillId="3" borderId="6" xfId="0" applyNumberFormat="1" applyFont="1" applyFill="1" applyBorder="1" applyAlignment="1">
      <alignment horizontal="center" vertical="center" wrapText="1"/>
    </xf>
    <xf numFmtId="0" fontId="1" fillId="2" borderId="7" xfId="0" applyFont="1" applyFill="1" applyBorder="1" applyAlignment="1">
      <alignment vertical="center" wrapText="1"/>
    </xf>
    <xf numFmtId="0" fontId="6" fillId="0" borderId="0" xfId="0" applyFont="1"/>
    <xf numFmtId="0" fontId="5" fillId="0" borderId="0" xfId="0" applyFont="1" applyAlignment="1">
      <alignment horizontal="center"/>
    </xf>
    <xf numFmtId="0" fontId="6" fillId="0" borderId="0" xfId="0" applyFont="1" applyAlignment="1">
      <alignment horizontal="center"/>
    </xf>
    <xf numFmtId="0" fontId="4" fillId="3" borderId="6" xfId="0" applyFont="1" applyFill="1" applyBorder="1" applyAlignment="1">
      <alignment horizontal="center" vertical="center" wrapText="1"/>
    </xf>
    <xf numFmtId="0" fontId="1" fillId="2" borderId="6" xfId="0" applyFont="1" applyFill="1" applyBorder="1" applyAlignment="1">
      <alignment vertical="center" wrapText="1"/>
    </xf>
    <xf numFmtId="0" fontId="5" fillId="0" borderId="1" xfId="0" applyFont="1" applyBorder="1" applyAlignment="1">
      <alignment horizontal="center"/>
    </xf>
    <xf numFmtId="0" fontId="5" fillId="0" borderId="8" xfId="0"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0" fontId="5" fillId="0" borderId="5" xfId="0" applyFont="1" applyBorder="1" applyAlignment="1">
      <alignment horizontal="center"/>
    </xf>
    <xf numFmtId="0" fontId="6" fillId="0" borderId="3" xfId="0" applyFont="1" applyBorder="1" applyAlignment="1">
      <alignment horizontal="center"/>
    </xf>
    <xf numFmtId="0" fontId="6" fillId="0" borderId="4" xfId="0" applyFont="1" applyBorder="1" applyAlignment="1">
      <alignment horizontal="center"/>
    </xf>
    <xf numFmtId="0" fontId="0" fillId="0" borderId="6" xfId="0" applyBorder="1" applyAlignment="1">
      <alignment horizontal="center" vertical="center"/>
    </xf>
    <xf numFmtId="0" fontId="0" fillId="0" borderId="6" xfId="0" applyBorder="1" applyAlignment="1">
      <alignment horizontal="left" vertical="top" wrapText="1"/>
    </xf>
    <xf numFmtId="0" fontId="2" fillId="4" borderId="6" xfId="0" applyFont="1" applyFill="1" applyBorder="1" applyAlignment="1">
      <alignment vertical="center" wrapText="1"/>
    </xf>
    <xf numFmtId="0" fontId="2" fillId="0" borderId="6"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534A4-ACAF-0547-8A21-CD549B8BF81E}">
  <dimension ref="A1:O14"/>
  <sheetViews>
    <sheetView tabSelected="1" topLeftCell="A11" workbookViewId="0">
      <selection activeCell="J7" sqref="J7"/>
    </sheetView>
  </sheetViews>
  <sheetFormatPr defaultColWidth="11" defaultRowHeight="15.6" x14ac:dyDescent="0.3"/>
  <cols>
    <col min="3" max="3" width="7.3984375" bestFit="1" customWidth="1"/>
    <col min="4" max="4" width="22.59765625" customWidth="1"/>
    <col min="5" max="5" width="18.8984375" customWidth="1"/>
    <col min="6" max="6" width="19.3984375" customWidth="1"/>
    <col min="7" max="7" width="21.5" customWidth="1"/>
    <col min="8" max="8" width="29" customWidth="1"/>
    <col min="10" max="10" width="38" customWidth="1"/>
  </cols>
  <sheetData>
    <row r="1" spans="1:15" ht="16.2" thickBot="1" x14ac:dyDescent="0.35"/>
    <row r="2" spans="1:15" ht="21.6" thickBot="1" x14ac:dyDescent="0.45">
      <c r="D2" s="15" t="s">
        <v>0</v>
      </c>
      <c r="E2" s="16"/>
      <c r="F2" s="16"/>
      <c r="G2" s="16"/>
      <c r="H2" s="17"/>
    </row>
    <row r="3" spans="1:15" ht="21.6" thickBot="1" x14ac:dyDescent="0.45">
      <c r="D3" s="18" t="s">
        <v>1</v>
      </c>
      <c r="E3" s="19"/>
      <c r="F3" s="20" t="s">
        <v>68</v>
      </c>
      <c r="G3" s="21"/>
      <c r="H3" s="10"/>
    </row>
    <row r="4" spans="1:15" ht="21" x14ac:dyDescent="0.4">
      <c r="D4" s="11"/>
      <c r="E4" s="11"/>
      <c r="F4" s="12"/>
      <c r="G4" s="12"/>
      <c r="H4" s="10"/>
    </row>
    <row r="5" spans="1:15" x14ac:dyDescent="0.3">
      <c r="A5" s="14" t="s">
        <v>2</v>
      </c>
      <c r="B5" s="14"/>
      <c r="C5" s="7" t="s">
        <v>3</v>
      </c>
      <c r="D5" s="9" t="s">
        <v>4</v>
      </c>
      <c r="E5" s="9" t="s">
        <v>5</v>
      </c>
      <c r="F5" s="9" t="s">
        <v>6</v>
      </c>
      <c r="G5" s="9" t="s">
        <v>7</v>
      </c>
      <c r="H5" s="7" t="s">
        <v>8</v>
      </c>
      <c r="I5" s="7" t="s">
        <v>9</v>
      </c>
      <c r="J5" s="7" t="s">
        <v>10</v>
      </c>
    </row>
    <row r="6" spans="1:15" ht="358.8" x14ac:dyDescent="0.3">
      <c r="A6" s="13" t="s">
        <v>11</v>
      </c>
      <c r="B6" s="13"/>
      <c r="C6" s="8">
        <v>0.05</v>
      </c>
      <c r="D6" s="5" t="s">
        <v>12</v>
      </c>
      <c r="E6" s="5" t="s">
        <v>13</v>
      </c>
      <c r="F6" s="5" t="s">
        <v>14</v>
      </c>
      <c r="G6" s="24" t="s">
        <v>15</v>
      </c>
      <c r="H6" s="5" t="s">
        <v>16</v>
      </c>
      <c r="I6" s="22">
        <v>4</v>
      </c>
      <c r="J6" s="23" t="s">
        <v>60</v>
      </c>
    </row>
    <row r="7" spans="1:15" ht="358.8" x14ac:dyDescent="0.3">
      <c r="A7" s="13" t="s">
        <v>17</v>
      </c>
      <c r="B7" s="13"/>
      <c r="C7" s="8">
        <v>0.15</v>
      </c>
      <c r="D7" s="5" t="s">
        <v>18</v>
      </c>
      <c r="E7" s="5" t="s">
        <v>19</v>
      </c>
      <c r="F7" s="5" t="s">
        <v>20</v>
      </c>
      <c r="G7" s="24" t="s">
        <v>21</v>
      </c>
      <c r="H7" s="5" t="s">
        <v>22</v>
      </c>
      <c r="I7" s="22">
        <v>13</v>
      </c>
      <c r="J7" s="23" t="s">
        <v>61</v>
      </c>
    </row>
    <row r="8" spans="1:15" ht="156" x14ac:dyDescent="0.3">
      <c r="A8" s="13" t="s">
        <v>23</v>
      </c>
      <c r="B8" s="13"/>
      <c r="C8" s="8">
        <v>0.15</v>
      </c>
      <c r="D8" s="5" t="s">
        <v>24</v>
      </c>
      <c r="E8" s="5" t="s">
        <v>25</v>
      </c>
      <c r="F8" s="24" t="s">
        <v>26</v>
      </c>
      <c r="G8" s="5" t="s">
        <v>27</v>
      </c>
      <c r="H8" s="5" t="s">
        <v>28</v>
      </c>
      <c r="I8" s="22">
        <v>8</v>
      </c>
      <c r="J8" s="23" t="s">
        <v>62</v>
      </c>
    </row>
    <row r="9" spans="1:15" ht="109.2" x14ac:dyDescent="0.3">
      <c r="A9" s="13" t="s">
        <v>29</v>
      </c>
      <c r="B9" s="13"/>
      <c r="C9" s="8">
        <v>0.15</v>
      </c>
      <c r="D9" s="5" t="s">
        <v>30</v>
      </c>
      <c r="E9" s="24" t="s">
        <v>31</v>
      </c>
      <c r="F9" s="5" t="s">
        <v>32</v>
      </c>
      <c r="G9" s="5" t="s">
        <v>33</v>
      </c>
      <c r="H9" s="5" t="s">
        <v>34</v>
      </c>
      <c r="I9" s="22">
        <v>6</v>
      </c>
      <c r="J9" s="23" t="s">
        <v>63</v>
      </c>
    </row>
    <row r="10" spans="1:15" ht="156" x14ac:dyDescent="0.3">
      <c r="A10" s="13" t="s">
        <v>35</v>
      </c>
      <c r="B10" s="13"/>
      <c r="C10" s="8">
        <v>0.1</v>
      </c>
      <c r="D10" s="5" t="s">
        <v>36</v>
      </c>
      <c r="E10" s="5" t="s">
        <v>37</v>
      </c>
      <c r="F10" s="24" t="s">
        <v>38</v>
      </c>
      <c r="G10" s="5" t="s">
        <v>39</v>
      </c>
      <c r="H10" s="5" t="s">
        <v>40</v>
      </c>
      <c r="I10" s="22">
        <v>5</v>
      </c>
      <c r="J10" s="23" t="s">
        <v>64</v>
      </c>
    </row>
    <row r="11" spans="1:15" ht="109.2" x14ac:dyDescent="0.3">
      <c r="A11" s="13" t="s">
        <v>41</v>
      </c>
      <c r="B11" s="13"/>
      <c r="C11" s="8">
        <v>0.2</v>
      </c>
      <c r="D11" s="5" t="s">
        <v>42</v>
      </c>
      <c r="E11" s="5" t="s">
        <v>43</v>
      </c>
      <c r="F11" s="5" t="s">
        <v>44</v>
      </c>
      <c r="G11" s="5" t="s">
        <v>45</v>
      </c>
      <c r="H11" s="24" t="s">
        <v>46</v>
      </c>
      <c r="I11" s="22">
        <v>19</v>
      </c>
      <c r="J11" s="23" t="s">
        <v>65</v>
      </c>
    </row>
    <row r="12" spans="1:15" ht="140.4" x14ac:dyDescent="0.3">
      <c r="A12" s="13" t="s">
        <v>47</v>
      </c>
      <c r="B12" s="13"/>
      <c r="C12" s="8">
        <v>0.05</v>
      </c>
      <c r="D12" s="5" t="s">
        <v>48</v>
      </c>
      <c r="E12" s="5" t="s">
        <v>49</v>
      </c>
      <c r="F12" s="24" t="s">
        <v>50</v>
      </c>
      <c r="G12" s="25" t="s">
        <v>51</v>
      </c>
      <c r="H12" s="5" t="s">
        <v>52</v>
      </c>
      <c r="I12" s="22">
        <v>3</v>
      </c>
      <c r="J12" s="23" t="s">
        <v>66</v>
      </c>
    </row>
    <row r="13" spans="1:15" ht="140.4" x14ac:dyDescent="0.3">
      <c r="A13" s="13" t="s">
        <v>53</v>
      </c>
      <c r="B13" s="13"/>
      <c r="C13" s="8">
        <v>0.15</v>
      </c>
      <c r="D13" s="5" t="s">
        <v>54</v>
      </c>
      <c r="E13" s="5" t="s">
        <v>55</v>
      </c>
      <c r="F13" s="5" t="s">
        <v>56</v>
      </c>
      <c r="G13" s="24" t="s">
        <v>57</v>
      </c>
      <c r="H13" s="5" t="s">
        <v>58</v>
      </c>
      <c r="I13" s="22">
        <v>12</v>
      </c>
      <c r="J13" s="23" t="s">
        <v>67</v>
      </c>
    </row>
    <row r="14" spans="1:15" ht="15.9" customHeight="1" x14ac:dyDescent="0.3">
      <c r="A14" s="1"/>
      <c r="B14" s="1"/>
      <c r="C14" s="6"/>
      <c r="D14" s="1"/>
      <c r="E14" s="1"/>
      <c r="F14" s="1"/>
      <c r="G14" s="1"/>
      <c r="H14" s="4" t="s">
        <v>59</v>
      </c>
      <c r="I14" s="4">
        <f>SUM(I6:I13)</f>
        <v>70</v>
      </c>
      <c r="J14" s="2"/>
      <c r="K14" s="3"/>
      <c r="L14" s="3"/>
      <c r="M14" s="3"/>
      <c r="N14" s="3"/>
      <c r="O14" s="3"/>
    </row>
  </sheetData>
  <mergeCells count="12">
    <mergeCell ref="D2:H2"/>
    <mergeCell ref="D3:E3"/>
    <mergeCell ref="F3:G3"/>
    <mergeCell ref="A11:B11"/>
    <mergeCell ref="A12:B12"/>
    <mergeCell ref="A13:B13"/>
    <mergeCell ref="A5:B5"/>
    <mergeCell ref="A6:B6"/>
    <mergeCell ref="A7:B7"/>
    <mergeCell ref="A8:B8"/>
    <mergeCell ref="A9:B9"/>
    <mergeCell ref="A10:B10"/>
  </mergeCells>
  <dataValidations count="5">
    <dataValidation type="decimal" allowBlank="1" showInputMessage="1" showErrorMessage="1" sqref="I12 I6" xr:uid="{C6B0B0DF-725F-6848-8E60-111E53B74E21}">
      <formula1>0</formula1>
      <formula2>5</formula2>
    </dataValidation>
    <dataValidation type="decimal" allowBlank="1" showInputMessage="1" showErrorMessage="1" sqref="I13 I7:I9" xr:uid="{38955329-2F37-5442-A98B-3F2606B718D6}">
      <formula1>0</formula1>
      <formula2>15</formula2>
    </dataValidation>
    <dataValidation type="decimal" allowBlank="1" showInputMessage="1" showErrorMessage="1" sqref="I10" xr:uid="{6FA841A3-B0F0-1D46-94C9-5ADCE5927856}">
      <formula1>0</formula1>
      <formula2>10</formula2>
    </dataValidation>
    <dataValidation type="decimal" allowBlank="1" showInputMessage="1" showErrorMessage="1" sqref="I11" xr:uid="{021DA0E1-7C0A-2E47-8E37-66307C4D01C2}">
      <formula1>0</formula1>
      <formula2>20</formula2>
    </dataValidation>
    <dataValidation type="decimal" allowBlank="1" showInputMessage="1" showErrorMessage="1" sqref="I14" xr:uid="{080237B6-8B52-264B-AAD1-E02C01F511E8}">
      <formula1>0</formula1>
      <formula2>100</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Joel Pinney</dc:creator>
  <cp:keywords/>
  <dc:description/>
  <cp:lastModifiedBy>Smith, Ian</cp:lastModifiedBy>
  <cp:revision/>
  <dcterms:created xsi:type="dcterms:W3CDTF">2025-12-11T10:49:02Z</dcterms:created>
  <dcterms:modified xsi:type="dcterms:W3CDTF">2026-01-12T15:26:53Z</dcterms:modified>
  <cp:category/>
  <cp:contentStatus/>
</cp:coreProperties>
</file>