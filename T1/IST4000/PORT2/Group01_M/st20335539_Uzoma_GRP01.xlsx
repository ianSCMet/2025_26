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G:\2025_26\T1\IST4000\PORT2\Group01\"/>
    </mc:Choice>
  </mc:AlternateContent>
  <xr:revisionPtr revIDLastSave="0" documentId="8_{E43BF6FD-5DB2-4ACB-AF5C-0572EB99E9EA}" xr6:coauthVersionLast="47" xr6:coauthVersionMax="47" xr10:uidLastSave="{00000000-0000-0000-0000-000000000000}"/>
  <bookViews>
    <workbookView xWindow="38290" yWindow="-1890" windowWidth="38620" windowHeight="21100" xr2:uid="{13D9909D-480D-0F4A-9128-EABB1A0C4E7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1" l="1"/>
</calcChain>
</file>

<file path=xl/sharedStrings.xml><?xml version="1.0" encoding="utf-8"?>
<sst xmlns="http://schemas.openxmlformats.org/spreadsheetml/2006/main" count="69" uniqueCount="69">
  <si>
    <t xml:space="preserve">IST4000 Explore PORT2 Marking </t>
  </si>
  <si>
    <t xml:space="preserve">Student Number: </t>
  </si>
  <si>
    <t>Criteria</t>
  </si>
  <si>
    <t>Weight</t>
  </si>
  <si>
    <t>0–39% (Fail)</t>
  </si>
  <si>
    <t>40–49% (Pass / 3rd)</t>
  </si>
  <si>
    <t>50–59% (Lower 2:2)</t>
  </si>
  <si>
    <t>60–69% (Upper 2:1)</t>
  </si>
  <si>
    <t>70%+ (First)</t>
  </si>
  <si>
    <t>Grade</t>
  </si>
  <si>
    <t xml:space="preserve">Comments </t>
  </si>
  <si>
    <t>Introduction</t>
  </si>
  <si>
    <t>No introduction, irrelevant, or unclear. No mention of case study or aims. Poor structure.</t>
  </si>
  <si>
    <t>Very brief, limited context, case study barely referenced. Aims vague or generic.</t>
  </si>
  <si>
    <t>Adequate introduction, some context, aims mentioned but weakly justified. Organisation basic.</t>
  </si>
  <si>
    <t>Clear, structured introduction. Good explanation of case study relevance and aims. Well-written.</t>
  </si>
  <si>
    <t>Excellent, engaging introduction. Strong context-setting, sharply defined aims, well justified. Professional and academic tone.</t>
  </si>
  <si>
    <t>Research</t>
  </si>
  <si>
    <t>No research or inappropriate sources (blogs, Wikipedia). Content inaccurate/irrelevant.</t>
  </si>
  <si>
    <t>Minimal research, mostly weak websites. No academic references. Descriptive, little analysis.</t>
  </si>
  <si>
    <t>Some relevant sources, mix of websites and a few academic/professional. Limited analysis. Application weak.</t>
  </si>
  <si>
    <t>Good range of credible sources (journals, reports, books). Balanced, mostly accurate discussion. Clear links to project.</t>
  </si>
  <si>
    <t>Wide range of high-quality academic sources. Critical analysis and synthesis. Research consistently informs design. Excellent accuracy and depth.</t>
  </si>
  <si>
    <t>End User Consideration</t>
  </si>
  <si>
    <t>No evidence of adapting content for 12–14-year-olds. Materials wholly unsuitable.</t>
  </si>
  <si>
    <t>Minimal attempt to adapt content. Often too technical or simplistic. Weak engagement.</t>
  </si>
  <si>
    <t>Some effort to adapt resources. Language partly age appropriate. Engagement limited or inconsistent.</t>
  </si>
  <si>
    <t>Good awareness of target age group. Mostly clear, accessible, engaging. Strong attempt to tailor learning.</t>
  </si>
  <si>
    <t>Outstanding adaptation. Resources consistently engaging, creative, age appropriate. Deep understanding of learner needs and pedagogy.</t>
  </si>
  <si>
    <t>Design Documentation</t>
  </si>
  <si>
    <t>No evidence of planning. No sketches, storyboards, or rationale.</t>
  </si>
  <si>
    <t>Very basic planning (single sketch/outline). Little explanation of choices. Weak alignment to artefact.</t>
  </si>
  <si>
    <t>Some documentation (storyboard, outline, flowchart). Justification present but underdeveloped.</t>
  </si>
  <si>
    <t>Good quality documentation (wireframes, storyboards, prototypes). Clear rationale, links to research. Organised process.</t>
  </si>
  <si>
    <t>Comprehensive, professional documentation. Multiple artefacts (iterations, prototypes). Evidence of iterative design. Excellent justification linking research to design.</t>
  </si>
  <si>
    <t>Legal &amp; Ethical Considerations</t>
  </si>
  <si>
    <t>No awareness of ethics/legal issues. Work biased, exclusionary, or inappropriate.</t>
  </si>
  <si>
    <t>Minimal acknowledgement, generic statements (e.g., “AI has bias”). No application to project.</t>
  </si>
  <si>
    <t>Some awareness (bias, inclusivity, accessibility). Application weak or inconsistent.</t>
  </si>
  <si>
    <t>Good awareness of ethics and inclusivity. Resources fair, age-appropriate, accessible. Applied well to design.</t>
  </si>
  <si>
    <t>Excellent, critical awareness of ethics/legal issues. Thoughtful, consistent consideration of inclusivity, accessibility, and bias integrated into design and evaluation.</t>
  </si>
  <si>
    <t>Evidence of Built Project</t>
  </si>
  <si>
    <t>No artefact produced or evidence missing. Artefact irrelevant or incomplete.</t>
  </si>
  <si>
    <t>Artefact incomplete or poorly executed. Limited or unclear link to design docs.</t>
  </si>
  <si>
    <t>Functional artefact but basic. Limited creativity or polish. Some link to design documentation.</t>
  </si>
  <si>
    <t>Complete, functional, engaging artefact. Clear alignment with design documentation. Creative and usable.</t>
  </si>
  <si>
    <t>Highly polished, professional artefact. Creative, engaging, excellent execution. Strong documentation link. High usability and fit for purpose.</t>
  </si>
  <si>
    <t>Future Work</t>
  </si>
  <si>
    <t>No discussion of improvements. Work presented as “finished”.</t>
  </si>
  <si>
    <t>Minimal acknowledgement. Suggestions vague or unrealistic.</t>
  </si>
  <si>
    <t>Some recognition of limitations. Basic or generic suggestions.</t>
  </si>
  <si>
    <t>Clear recognition of strengths/weaknesses. Realistic, constructive improvements proposed.</t>
  </si>
  <si>
    <t>Critical and forward-thinking. Innovative suggestions for development. Strong awareness of limitations and growth potential.</t>
  </si>
  <si>
    <t>Individual Reflection</t>
  </si>
  <si>
    <t>No reflection submitted. Or purely descriptive (“I did X”) with no insight.</t>
  </si>
  <si>
    <t>Minimal reflection. Role vague. Little honesty or evidence of learning. Weak evaluation.</t>
  </si>
  <si>
    <t>Some reflection. Role described. Mentions skills but limited depth or critique.</t>
  </si>
  <si>
    <t>Honest, thoughtful reflection. Clear description of role, contribution, skills. Good evaluation of progress.</t>
  </si>
  <si>
    <t>Excellent, highly self-aware reflection. Deep critical evaluation of role, contribution, and skills. Strong evidence of personal/professional development.</t>
  </si>
  <si>
    <t>Total</t>
  </si>
  <si>
    <t>Statements made that require citations  - Where is the evidence that the Ministry of Education highlighted any concerns? Where did this information come from?</t>
  </si>
  <si>
    <t>Slips into first-person. Academic/Passive voice should be used. Saying that 'different sources' may 'have something different to add' is not doing the job of an academic. You need to be citing and referencing these different sources as what they are saying may be very important to what you're doing. Where do they agree and disagree? Get into this mindset as it will really benefit you going forward. There are some good sources used here, but could have used more research, particularly around Bias and Discrimination, and Misinformation and Manipulation. These sections are vitally important but glossed over very quickly.</t>
  </si>
  <si>
    <t>No research evidenced to support the decisions. Where is the research to support that the content needs to be 'simple to understand' for a 12-14 year old? The opening paragraph seems to be pitching the overall design choices towards a much younger audience. There doesn't seem to be a lot of effort here to understand what appeals to the target age-range; it seems mostly based in assumption.</t>
  </si>
  <si>
    <t>Slides should have been introduced in this section. You have repeated here what was already set out in the Introduction - where are the concepts, mindmaps, and storyboards? You haven't met the specific criteria for this section, but I have awarded marks for the presence of the slides in the document.</t>
  </si>
  <si>
    <t>Very poor - No evidence of research or critical thinking. No consideration of accessibility issues. No explanation of how the project maps to these criteria.</t>
  </si>
  <si>
    <t>Functional in as much as a slide show is shown, but there is no link to this as a separate artefact. The font style and size is inconsistent across the slides and the information on the slides seems to be very brief and generic. There is no evidence that this would be a useful tool in addressing the central question of the assessment.</t>
  </si>
  <si>
    <t>Statements made with no research evidenced to support them. There seems to be a misunderstanding around the purpose of this section. The authors seems to be discussing future work around AI rather than their own project.  References are not in the correct format - Harvard referencing as per Cite Them Right.</t>
  </si>
  <si>
    <t>st20335539</t>
  </si>
  <si>
    <t xml:space="preserve">Some good reflections here, but you could gone a little deeper into how you will implement changes next time you are in a group situation. Is there a reason why you have issues around asking for feedback? The reflection is a good tool to use to discuss these feelings and develop a strategy.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</si>
</sst>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2"/>
      <color rgb="FF000000"/>
      <name val="Times New Roman"/>
      <family val="1"/>
    </font>
    <font>
      <sz val="12"/>
      <color rgb="FF000000"/>
      <name val="Times New Roman"/>
      <family val="1"/>
    </font>
    <font>
      <sz val="11"/>
      <color rgb="FF000000"/>
      <name val="Calibri"/>
      <family val="2"/>
    </font>
    <font>
      <b/>
      <sz val="14"/>
      <color rgb="FF000000"/>
      <name val="Times New Roman"/>
      <family val="1"/>
    </font>
    <font>
      <b/>
      <sz val="16"/>
      <color theme="1"/>
      <name val="Aptos Narrow"/>
      <scheme val="minor"/>
    </font>
    <font>
      <sz val="16"/>
      <color theme="1"/>
      <name val="Aptos Narrow"/>
      <scheme val="minor"/>
    </font>
  </fonts>
  <fills count="5">
    <fill>
      <patternFill patternType="none"/>
    </fill>
    <fill>
      <patternFill patternType="gray125"/>
    </fill>
    <fill>
      <patternFill patternType="solid">
        <fgColor theme="7" tint="0.59999389629810485"/>
        <bgColor indexed="64"/>
      </patternFill>
    </fill>
    <fill>
      <patternFill patternType="solid">
        <fgColor theme="0" tint="-0.14999847407452621"/>
        <bgColor indexed="64"/>
      </patternFill>
    </fill>
    <fill>
      <patternFill patternType="solid">
        <fgColor rgb="FFFFFF00"/>
        <bgColor indexed="64"/>
      </patternFill>
    </fill>
  </fills>
  <borders count="9">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s>
  <cellStyleXfs count="1">
    <xf numFmtId="0" fontId="0" fillId="0" borderId="0"/>
  </cellStyleXfs>
  <cellXfs count="25">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1" fillId="0" borderId="6" xfId="0" applyFont="1" applyBorder="1" applyAlignment="1">
      <alignment vertical="center" wrapText="1"/>
    </xf>
    <xf numFmtId="0" fontId="2" fillId="0" borderId="6" xfId="0" applyFont="1" applyBorder="1" applyAlignment="1">
      <alignment vertical="center" wrapText="1"/>
    </xf>
    <xf numFmtId="9" fontId="1" fillId="0" borderId="0" xfId="0" applyNumberFormat="1" applyFont="1" applyAlignment="1">
      <alignment vertical="center" wrapText="1"/>
    </xf>
    <xf numFmtId="0" fontId="1" fillId="2" borderId="6" xfId="0" applyFont="1" applyFill="1" applyBorder="1" applyAlignment="1">
      <alignment vertical="center" wrapText="1"/>
    </xf>
    <xf numFmtId="9" fontId="4" fillId="3" borderId="6" xfId="0" applyNumberFormat="1" applyFont="1" applyFill="1" applyBorder="1" applyAlignment="1">
      <alignment horizontal="center" vertical="center" wrapText="1"/>
    </xf>
    <xf numFmtId="0" fontId="1" fillId="2" borderId="7" xfId="0" applyFont="1" applyFill="1" applyBorder="1" applyAlignment="1">
      <alignment vertical="center" wrapText="1"/>
    </xf>
    <xf numFmtId="0" fontId="6" fillId="0" borderId="0" xfId="0" applyFont="1"/>
    <xf numFmtId="0" fontId="5" fillId="0" borderId="0" xfId="0" applyFont="1" applyAlignment="1">
      <alignment horizontal="center"/>
    </xf>
    <xf numFmtId="0" fontId="6" fillId="0" borderId="0" xfId="0" applyFont="1" applyAlignment="1">
      <alignment horizontal="center"/>
    </xf>
    <xf numFmtId="0" fontId="0" fillId="0" borderId="6" xfId="0" applyBorder="1" applyAlignment="1">
      <alignment vertical="top" wrapText="1"/>
    </xf>
    <xf numFmtId="0" fontId="2" fillId="4" borderId="6" xfId="0" applyFont="1" applyFill="1" applyBorder="1" applyAlignment="1">
      <alignment vertical="center" wrapText="1"/>
    </xf>
    <xf numFmtId="0" fontId="0" fillId="0" borderId="6" xfId="0" applyBorder="1" applyAlignment="1">
      <alignment horizontal="center" vertical="center"/>
    </xf>
    <xf numFmtId="0" fontId="5" fillId="0" borderId="1" xfId="0" applyFont="1" applyBorder="1" applyAlignment="1">
      <alignment horizontal="center"/>
    </xf>
    <xf numFmtId="0" fontId="5" fillId="0" borderId="8"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5" xfId="0" applyFont="1" applyBorder="1" applyAlignment="1">
      <alignment horizontal="center"/>
    </xf>
    <xf numFmtId="0" fontId="6" fillId="0" borderId="3" xfId="0" applyFont="1" applyBorder="1" applyAlignment="1">
      <alignment horizontal="center"/>
    </xf>
    <xf numFmtId="0" fontId="6" fillId="0" borderId="4" xfId="0" applyFont="1" applyBorder="1" applyAlignment="1">
      <alignment horizontal="center"/>
    </xf>
    <xf numFmtId="0" fontId="4" fillId="3" borderId="6" xfId="0" applyFont="1" applyFill="1" applyBorder="1" applyAlignment="1">
      <alignment horizontal="center" vertical="center" wrapText="1"/>
    </xf>
    <xf numFmtId="0" fontId="1" fillId="2" borderId="6"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534A4-ACAF-0547-8A21-CD549B8BF81E}">
  <dimension ref="A1:O14"/>
  <sheetViews>
    <sheetView tabSelected="1" workbookViewId="0">
      <selection activeCell="J14" sqref="J14"/>
    </sheetView>
  </sheetViews>
  <sheetFormatPr defaultColWidth="11" defaultRowHeight="15.6" x14ac:dyDescent="0.3"/>
  <cols>
    <col min="3" max="3" width="7.3984375" bestFit="1" customWidth="1"/>
    <col min="4" max="4" width="22.59765625" customWidth="1"/>
    <col min="5" max="5" width="18.8984375" customWidth="1"/>
    <col min="6" max="6" width="19.3984375" customWidth="1"/>
    <col min="7" max="7" width="21.5" customWidth="1"/>
    <col min="8" max="8" width="29" customWidth="1"/>
    <col min="10" max="10" width="38" customWidth="1"/>
  </cols>
  <sheetData>
    <row r="1" spans="1:15" ht="16.2" thickBot="1" x14ac:dyDescent="0.35"/>
    <row r="2" spans="1:15" ht="21.6" thickBot="1" x14ac:dyDescent="0.45">
      <c r="D2" s="16" t="s">
        <v>0</v>
      </c>
      <c r="E2" s="17"/>
      <c r="F2" s="17"/>
      <c r="G2" s="17"/>
      <c r="H2" s="18"/>
    </row>
    <row r="3" spans="1:15" ht="21.6" thickBot="1" x14ac:dyDescent="0.45">
      <c r="D3" s="19" t="s">
        <v>1</v>
      </c>
      <c r="E3" s="20"/>
      <c r="F3" s="21" t="s">
        <v>67</v>
      </c>
      <c r="G3" s="22"/>
      <c r="H3" s="10"/>
    </row>
    <row r="4" spans="1:15" ht="21" x14ac:dyDescent="0.4">
      <c r="D4" s="11"/>
      <c r="E4" s="11"/>
      <c r="F4" s="12"/>
      <c r="G4" s="12"/>
      <c r="H4" s="10"/>
    </row>
    <row r="5" spans="1:15" x14ac:dyDescent="0.3">
      <c r="A5" s="24" t="s">
        <v>2</v>
      </c>
      <c r="B5" s="24"/>
      <c r="C5" s="7" t="s">
        <v>3</v>
      </c>
      <c r="D5" s="9" t="s">
        <v>4</v>
      </c>
      <c r="E5" s="9" t="s">
        <v>5</v>
      </c>
      <c r="F5" s="9" t="s">
        <v>6</v>
      </c>
      <c r="G5" s="9" t="s">
        <v>7</v>
      </c>
      <c r="H5" s="7" t="s">
        <v>8</v>
      </c>
      <c r="I5" s="7" t="s">
        <v>9</v>
      </c>
      <c r="J5" s="7" t="s">
        <v>10</v>
      </c>
    </row>
    <row r="6" spans="1:15" ht="78" x14ac:dyDescent="0.3">
      <c r="A6" s="23" t="s">
        <v>11</v>
      </c>
      <c r="B6" s="23"/>
      <c r="C6" s="8">
        <v>0.05</v>
      </c>
      <c r="D6" s="5" t="s">
        <v>12</v>
      </c>
      <c r="E6" s="5" t="s">
        <v>13</v>
      </c>
      <c r="F6" s="14" t="s">
        <v>14</v>
      </c>
      <c r="G6" s="5" t="s">
        <v>15</v>
      </c>
      <c r="H6" s="5" t="s">
        <v>16</v>
      </c>
      <c r="I6" s="15">
        <v>3</v>
      </c>
      <c r="J6" s="13" t="s">
        <v>60</v>
      </c>
    </row>
    <row r="7" spans="1:15" ht="222" customHeight="1" x14ac:dyDescent="0.3">
      <c r="A7" s="23" t="s">
        <v>17</v>
      </c>
      <c r="B7" s="23"/>
      <c r="C7" s="8">
        <v>0.15</v>
      </c>
      <c r="D7" s="5" t="s">
        <v>18</v>
      </c>
      <c r="E7" s="5" t="s">
        <v>19</v>
      </c>
      <c r="F7" s="14" t="s">
        <v>20</v>
      </c>
      <c r="G7" s="5" t="s">
        <v>21</v>
      </c>
      <c r="H7" s="5" t="s">
        <v>22</v>
      </c>
      <c r="I7" s="15">
        <v>8</v>
      </c>
      <c r="J7" s="13" t="s">
        <v>61</v>
      </c>
    </row>
    <row r="8" spans="1:15" ht="181.2" customHeight="1" x14ac:dyDescent="0.3">
      <c r="A8" s="23" t="s">
        <v>23</v>
      </c>
      <c r="B8" s="23"/>
      <c r="C8" s="8">
        <v>0.15</v>
      </c>
      <c r="D8" s="5" t="s">
        <v>24</v>
      </c>
      <c r="E8" s="5" t="s">
        <v>25</v>
      </c>
      <c r="F8" s="14" t="s">
        <v>26</v>
      </c>
      <c r="G8" s="5" t="s">
        <v>27</v>
      </c>
      <c r="H8" s="5" t="s">
        <v>28</v>
      </c>
      <c r="I8" s="15">
        <v>8</v>
      </c>
      <c r="J8" s="13" t="s">
        <v>62</v>
      </c>
    </row>
    <row r="9" spans="1:15" ht="109.2" x14ac:dyDescent="0.3">
      <c r="A9" s="23" t="s">
        <v>29</v>
      </c>
      <c r="B9" s="23"/>
      <c r="C9" s="8">
        <v>0.15</v>
      </c>
      <c r="D9" s="5" t="s">
        <v>30</v>
      </c>
      <c r="E9" s="5" t="s">
        <v>31</v>
      </c>
      <c r="F9" s="14" t="s">
        <v>32</v>
      </c>
      <c r="G9" s="5" t="s">
        <v>33</v>
      </c>
      <c r="H9" s="5" t="s">
        <v>34</v>
      </c>
      <c r="I9" s="15">
        <v>8</v>
      </c>
      <c r="J9" s="13" t="s">
        <v>63</v>
      </c>
    </row>
    <row r="10" spans="1:15" ht="93.6" x14ac:dyDescent="0.3">
      <c r="A10" s="23" t="s">
        <v>35</v>
      </c>
      <c r="B10" s="23"/>
      <c r="C10" s="8">
        <v>0.1</v>
      </c>
      <c r="D10" s="5" t="s">
        <v>36</v>
      </c>
      <c r="E10" s="14" t="s">
        <v>37</v>
      </c>
      <c r="F10" s="5" t="s">
        <v>38</v>
      </c>
      <c r="G10" s="5" t="s">
        <v>39</v>
      </c>
      <c r="H10" s="5" t="s">
        <v>40</v>
      </c>
      <c r="I10" s="15">
        <v>3</v>
      </c>
      <c r="J10" s="13" t="s">
        <v>64</v>
      </c>
    </row>
    <row r="11" spans="1:15" ht="124.8" x14ac:dyDescent="0.3">
      <c r="A11" s="23" t="s">
        <v>41</v>
      </c>
      <c r="B11" s="23"/>
      <c r="C11" s="8">
        <v>0.2</v>
      </c>
      <c r="D11" s="5" t="s">
        <v>42</v>
      </c>
      <c r="E11" s="5" t="s">
        <v>43</v>
      </c>
      <c r="F11" s="14" t="s">
        <v>44</v>
      </c>
      <c r="G11" s="5" t="s">
        <v>45</v>
      </c>
      <c r="H11" s="5" t="s">
        <v>46</v>
      </c>
      <c r="I11" s="15">
        <v>8</v>
      </c>
      <c r="J11" s="13" t="s">
        <v>65</v>
      </c>
    </row>
    <row r="12" spans="1:15" ht="124.8" x14ac:dyDescent="0.3">
      <c r="A12" s="23" t="s">
        <v>47</v>
      </c>
      <c r="B12" s="23"/>
      <c r="C12" s="8">
        <v>0.05</v>
      </c>
      <c r="D12" s="5" t="s">
        <v>48</v>
      </c>
      <c r="E12" s="5" t="s">
        <v>49</v>
      </c>
      <c r="F12" s="14" t="s">
        <v>50</v>
      </c>
      <c r="G12" s="5" t="s">
        <v>51</v>
      </c>
      <c r="H12" s="5" t="s">
        <v>52</v>
      </c>
      <c r="I12" s="15">
        <v>3</v>
      </c>
      <c r="J12" s="13" t="s">
        <v>66</v>
      </c>
    </row>
    <row r="13" spans="1:15" ht="109.2" x14ac:dyDescent="0.3">
      <c r="A13" s="23" t="s">
        <v>53</v>
      </c>
      <c r="B13" s="23"/>
      <c r="C13" s="8">
        <v>0.15</v>
      </c>
      <c r="D13" s="5" t="s">
        <v>54</v>
      </c>
      <c r="E13" s="5" t="s">
        <v>55</v>
      </c>
      <c r="F13" s="14" t="s">
        <v>56</v>
      </c>
      <c r="G13" s="14" t="s">
        <v>57</v>
      </c>
      <c r="H13" s="5" t="s">
        <v>58</v>
      </c>
      <c r="I13" s="15">
        <v>10</v>
      </c>
      <c r="J13" s="13" t="s">
        <v>68</v>
      </c>
    </row>
    <row r="14" spans="1:15" ht="15.9" customHeight="1" x14ac:dyDescent="0.3">
      <c r="A14" s="1"/>
      <c r="B14" s="1"/>
      <c r="C14" s="6"/>
      <c r="D14" s="1"/>
      <c r="E14" s="1"/>
      <c r="F14" s="1"/>
      <c r="G14" s="1"/>
      <c r="H14" s="4" t="s">
        <v>59</v>
      </c>
      <c r="I14" s="4">
        <f>SUM(I6:I13)</f>
        <v>51</v>
      </c>
      <c r="J14" s="2"/>
      <c r="K14" s="3"/>
      <c r="L14" s="3"/>
      <c r="M14" s="3"/>
      <c r="N14" s="3"/>
      <c r="O14" s="3"/>
    </row>
  </sheetData>
  <mergeCells count="12">
    <mergeCell ref="A13:B13"/>
    <mergeCell ref="A5:B5"/>
    <mergeCell ref="A6:B6"/>
    <mergeCell ref="A7:B7"/>
    <mergeCell ref="A8:B8"/>
    <mergeCell ref="A9:B9"/>
    <mergeCell ref="A10:B10"/>
    <mergeCell ref="D2:H2"/>
    <mergeCell ref="D3:E3"/>
    <mergeCell ref="F3:G3"/>
    <mergeCell ref="A11:B11"/>
    <mergeCell ref="A12:B12"/>
  </mergeCells>
  <dataValidations count="5">
    <dataValidation type="decimal" allowBlank="1" showInputMessage="1" showErrorMessage="1" sqref="I12" xr:uid="{C6B0B0DF-725F-6848-8E60-111E53B74E21}">
      <formula1>0</formula1>
      <formula2>5</formula2>
    </dataValidation>
    <dataValidation type="decimal" allowBlank="1" showInputMessage="1" showErrorMessage="1" sqref="I13 I6:I9" xr:uid="{38955329-2F37-5442-A98B-3F2606B718D6}">
      <formula1>0</formula1>
      <formula2>15</formula2>
    </dataValidation>
    <dataValidation type="decimal" allowBlank="1" showInputMessage="1" showErrorMessage="1" sqref="I10" xr:uid="{6FA841A3-B0F0-1D46-94C9-5ADCE5927856}">
      <formula1>0</formula1>
      <formula2>10</formula2>
    </dataValidation>
    <dataValidation type="decimal" allowBlank="1" showInputMessage="1" showErrorMessage="1" sqref="I11" xr:uid="{021DA0E1-7C0A-2E47-8E37-66307C4D01C2}">
      <formula1>0</formula1>
      <formula2>20</formula2>
    </dataValidation>
    <dataValidation type="decimal" allowBlank="1" showInputMessage="1" showErrorMessage="1" sqref="I14" xr:uid="{080237B6-8B52-264B-AAD1-E02C01F511E8}">
      <formula1>0</formula1>
      <formula2>100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Joel Pinney</dc:creator>
  <cp:keywords/>
  <dc:description/>
  <cp:lastModifiedBy>Smith, Ian</cp:lastModifiedBy>
  <cp:revision/>
  <dcterms:created xsi:type="dcterms:W3CDTF">2025-12-11T10:49:02Z</dcterms:created>
  <dcterms:modified xsi:type="dcterms:W3CDTF">2026-01-08T13:42:01Z</dcterms:modified>
  <cp:category/>
  <cp:contentStatus/>
</cp:coreProperties>
</file>