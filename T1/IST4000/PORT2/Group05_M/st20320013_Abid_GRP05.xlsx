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G:\2025_26\T1\IST4000\PORT2\Group05\"/>
    </mc:Choice>
  </mc:AlternateContent>
  <xr:revisionPtr revIDLastSave="0" documentId="8_{7886B237-35BA-46B8-BA6C-EDEFFC90522A}" xr6:coauthVersionLast="47" xr6:coauthVersionMax="47" xr10:uidLastSave="{00000000-0000-0000-0000-000000000000}"/>
  <bookViews>
    <workbookView xWindow="38290" yWindow="-1890" windowWidth="38620" windowHeight="21100" xr2:uid="{13D9909D-480D-0F4A-9128-EABB1A0C4E71}"/>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4" i="1" l="1"/>
</calcChain>
</file>

<file path=xl/sharedStrings.xml><?xml version="1.0" encoding="utf-8"?>
<sst xmlns="http://schemas.openxmlformats.org/spreadsheetml/2006/main" count="69" uniqueCount="69">
  <si>
    <t xml:space="preserve">IST4000 Explore PORT2 Marking </t>
  </si>
  <si>
    <t xml:space="preserve">Student Number: </t>
  </si>
  <si>
    <t>Criteria</t>
  </si>
  <si>
    <t>Weight</t>
  </si>
  <si>
    <t>0–39% (Fail)</t>
  </si>
  <si>
    <t>40–49% (Pass / 3rd)</t>
  </si>
  <si>
    <t>50–59% (Lower 2:2)</t>
  </si>
  <si>
    <t>60–69% (Upper 2:1)</t>
  </si>
  <si>
    <t>70%+ (First)</t>
  </si>
  <si>
    <t>Grade</t>
  </si>
  <si>
    <t xml:space="preserve">Comments </t>
  </si>
  <si>
    <t>Introduction</t>
  </si>
  <si>
    <t>No introduction, irrelevant, or unclear. No mention of case study or aims. Poor structure.</t>
  </si>
  <si>
    <t>Very brief, limited context, case study barely referenced. Aims vague or generic.</t>
  </si>
  <si>
    <t>Adequate introduction, some context, aims mentioned but weakly justified. Organisation basic.</t>
  </si>
  <si>
    <t>Clear, structured introduction. Good explanation of case study relevance and aims. Well-written.</t>
  </si>
  <si>
    <t>Excellent, engaging introduction. Strong context-setting, sharply defined aims, well justified. Professional and academic tone.</t>
  </si>
  <si>
    <t>Research</t>
  </si>
  <si>
    <t>No research or inappropriate sources (blogs, Wikipedia). Content inaccurate/irrelevant.</t>
  </si>
  <si>
    <t>Minimal research, mostly weak websites. No academic references. Descriptive, little analysis.</t>
  </si>
  <si>
    <t>Some relevant sources, mix of websites and a few academic/professional. Limited analysis. Application weak.</t>
  </si>
  <si>
    <t>Good range of credible sources (journals, reports, books). Balanced, mostly accurate discussion. Clear links to project.</t>
  </si>
  <si>
    <t>Wide range of high-quality academic sources. Critical analysis and synthesis. Research consistently informs design. Excellent accuracy and depth.</t>
  </si>
  <si>
    <t>End User Consideration</t>
  </si>
  <si>
    <t>No evidence of adapting content for 12–14-year-olds. Materials wholly unsuitable.</t>
  </si>
  <si>
    <t>Minimal attempt to adapt content. Often too technical or simplistic. Weak engagement.</t>
  </si>
  <si>
    <t>Some effort to adapt resources. Language partly age appropriate. Engagement limited or inconsistent.</t>
  </si>
  <si>
    <t>Good awareness of target age group. Mostly clear, accessible, engaging. Strong attempt to tailor learning.</t>
  </si>
  <si>
    <t>Outstanding adaptation. Resources consistently engaging, creative, age appropriate. Deep understanding of learner needs and pedagogy.</t>
  </si>
  <si>
    <t>Design Documentation</t>
  </si>
  <si>
    <t>No evidence of planning. No sketches, storyboards, or rationale.</t>
  </si>
  <si>
    <t>Very basic planning (single sketch/outline). Little explanation of choices. Weak alignment to artefact.</t>
  </si>
  <si>
    <t>Some documentation (storyboard, outline, flowchart). Justification present but underdeveloped.</t>
  </si>
  <si>
    <t>Good quality documentation (wireframes, storyboards, prototypes). Clear rationale, links to research. Organised process.</t>
  </si>
  <si>
    <t>Comprehensive, professional documentation. Multiple artefacts (iterations, prototypes). Evidence of iterative design. Excellent justification linking research to design.</t>
  </si>
  <si>
    <t>Legal &amp; Ethical Considerations</t>
  </si>
  <si>
    <t>No awareness of ethics/legal issues. Work biased, exclusionary, or inappropriate.</t>
  </si>
  <si>
    <t>Minimal acknowledgement, generic statements (e.g., “AI has bias”). No application to project.</t>
  </si>
  <si>
    <t>Some awareness (bias, inclusivity, accessibility). Application weak or inconsistent.</t>
  </si>
  <si>
    <t>Good awareness of ethics and inclusivity. Resources fair, age-appropriate, accessible. Applied well to design.</t>
  </si>
  <si>
    <t>Excellent, critical awareness of ethics/legal issues. Thoughtful, consistent consideration of inclusivity, accessibility, and bias integrated into design and evaluation.</t>
  </si>
  <si>
    <t>Evidence of Built Project</t>
  </si>
  <si>
    <t>No artefact produced or evidence missing. Artefact irrelevant or incomplete.</t>
  </si>
  <si>
    <t>Artefact incomplete or poorly executed. Limited or unclear link to design docs.</t>
  </si>
  <si>
    <t>Functional artefact but basic. Limited creativity or polish. Some link to design documentation.</t>
  </si>
  <si>
    <t>Complete, functional, engaging artefact. Clear alignment with design documentation. Creative and usable.</t>
  </si>
  <si>
    <t>Highly polished, professional artefact. Creative, engaging, excellent execution. Strong documentation link. High usability and fit for purpose.</t>
  </si>
  <si>
    <t>Future Work</t>
  </si>
  <si>
    <t>No discussion of improvements. Work presented as “finished”.</t>
  </si>
  <si>
    <t>Minimal acknowledgement. Suggestions vague or unrealistic.</t>
  </si>
  <si>
    <t>Some recognition of limitations. Basic or generic suggestions.</t>
  </si>
  <si>
    <t>Clear recognition of strengths/weaknesses. Realistic, constructive improvements proposed.</t>
  </si>
  <si>
    <t>Critical and forward-thinking. Innovative suggestions for development. Strong awareness of limitations and growth potential.</t>
  </si>
  <si>
    <t>Individual Reflection</t>
  </si>
  <si>
    <t>No reflection submitted. Or purely descriptive (“I did X”) with no insight.</t>
  </si>
  <si>
    <t>Minimal reflection. Role vague. Little honesty or evidence of learning. Weak evaluation.</t>
  </si>
  <si>
    <t>Some reflection. Role described. Mentions skills but limited depth or critique.</t>
  </si>
  <si>
    <t>Honest, thoughtful reflection. Clear description of role, contribution, skills. Good evaluation of progress.</t>
  </si>
  <si>
    <t>Excellent, highly self-aware reflection. Deep critical evaluation of role, contribution, and skills. Strong evidence of personal/professional development.</t>
  </si>
  <si>
    <t>Total</t>
  </si>
  <si>
    <t>Thus is not commonly used, also the grammatical use would be 'Thus it is..' not 'It is thus…' Thus is an older form of 'So' or 'Therefore'. Try to avoid it as it is the kind of thing that Gen-AI spits out when it thinks it's doing academic writing. It's not a bad Introduction section, but a little unclear and the language used is leaning towards being more casual than academic (use of first-person rather than passive voice for one).</t>
  </si>
  <si>
    <t xml:space="preserve">A very brief research section - which given the subject area is disappointing. Again, the writing is a little too casual (i.e. 'On the other hand' would not be a term used in academic writing 'Conversely' or 'Alternatively' would be more appropriate) , and it could have benefitted from more structure. You have not conducted anywhere near a sufficient amount of research to be able to identify a gap. </t>
  </si>
  <si>
    <t>The reference to the Harvard Graduate School of Education is factually incorrect. Nowhere in the article does it mention anything about design or zoning. If you are using research you need to ensure it is accurately cited and what you are saying is supported by that research. Surely electonic distribution would be cheaper and more environmentally-friendly than printing on paper? Where is your evidence to support this decision? There is no evidence of the early designs mentioned, which would have been good to see.</t>
  </si>
  <si>
    <t xml:space="preserve">If you're using outside sources for artwork, you still need to cite and reference the source or original artist, even under creative commons this would be expected in academia. Why is labelling something a 'fact' and quoting it an example of good academic practice? Do you mean putting references on the poster? I am not sure what is being said here. The referencing of key Welsh language phrases - you haven't stated anywhere that this poster is specifically for students in Wales... </t>
  </si>
  <si>
    <t>The design suggests green, red and purple theming with cartoon characters, but the artefact is grey and orange. The art-style of the characters is inconsistent.  The work produced bears very little resemblance to the described artefact. It's a nice looking poster though.</t>
  </si>
  <si>
    <t xml:space="preserve">What research is evidenced to support the level of 'careful insight' into that demographic? You need to show your research and that you understand it. There is a very sweeping statement here - you cannot state that this age group usually has a low attention span without providing evidence for this, otherwise it is just your opinion. The WCAG needs a citation and reference (the information is external). Which font was selected? Be specific. When did you do testing? You would have been refused ethics clearance to conduct any studies on that age range. </t>
  </si>
  <si>
    <t>What more resouces would you require? I can understand having more time, but that may be a personal time management issue. An animated 1-45 seconds long version? As in somewhere between 1 and 45 seconds? Vague! Interesting idea to include Welsh language, but why stop there? AI is a global issue affecting schools afterall... Some interesting ideas here - some more likely than others. Conducting any studies with under-18s is not likely to get ethical clearance.</t>
  </si>
  <si>
    <t>st20320013</t>
  </si>
  <si>
    <t>Role is defined, but there is no reflection here on the experience. There is mention of the diversity of the illustrations on the poster, but this doesn't really match the finished artefact - the characters mostly appear to be white Europeans. The reflection is an opportunity to think about how you felt about the assessment, the group work, and analyse what worked and conclude with some strategies that may help you going forward.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</si>
</sst>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b/>
      <sz val="12"/>
      <color rgb="FF000000"/>
      <name val="Times New Roman"/>
      <family val="1"/>
    </font>
    <font>
      <sz val="12"/>
      <color rgb="FF000000"/>
      <name val="Times New Roman"/>
      <family val="1"/>
    </font>
    <font>
      <sz val="11"/>
      <color rgb="FF000000"/>
      <name val="Calibri"/>
      <family val="2"/>
    </font>
    <font>
      <b/>
      <sz val="14"/>
      <color rgb="FF000000"/>
      <name val="Times New Roman"/>
      <family val="1"/>
    </font>
    <font>
      <b/>
      <sz val="16"/>
      <color theme="1"/>
      <name val="Aptos Narrow"/>
      <family val="2"/>
      <scheme val="minor"/>
    </font>
    <font>
      <sz val="16"/>
      <color theme="1"/>
      <name val="Aptos Narrow"/>
      <family val="2"/>
      <scheme val="minor"/>
    </font>
  </fonts>
  <fills count="5">
    <fill>
      <patternFill patternType="none"/>
    </fill>
    <fill>
      <patternFill patternType="gray125"/>
    </fill>
    <fill>
      <patternFill patternType="solid">
        <fgColor theme="7" tint="0.59999389629810485"/>
        <bgColor indexed="64"/>
      </patternFill>
    </fill>
    <fill>
      <patternFill patternType="solid">
        <fgColor theme="0" tint="-0.14999847407452621"/>
        <bgColor indexed="64"/>
      </patternFill>
    </fill>
    <fill>
      <patternFill patternType="solid">
        <fgColor rgb="FFFFFF00"/>
        <bgColor indexed="64"/>
      </patternFill>
    </fill>
  </fills>
  <borders count="9">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medium">
        <color indexed="64"/>
      </top>
      <bottom style="medium">
        <color indexed="64"/>
      </bottom>
      <diagonal/>
    </border>
  </borders>
  <cellStyleXfs count="1">
    <xf numFmtId="0" fontId="0" fillId="0" borderId="0"/>
  </cellStyleXfs>
  <cellXfs count="25">
    <xf numFmtId="0" fontId="0" fillId="0" borderId="0" xfId="0"/>
    <xf numFmtId="0" fontId="1" fillId="0" borderId="0" xfId="0" applyFont="1" applyAlignment="1">
      <alignment vertical="center" wrapText="1"/>
    </xf>
    <xf numFmtId="0" fontId="2" fillId="0" borderId="0" xfId="0" applyFont="1" applyAlignment="1">
      <alignment vertical="center" wrapText="1"/>
    </xf>
    <xf numFmtId="0" fontId="3" fillId="0" borderId="0" xfId="0" applyFont="1" applyAlignment="1">
      <alignment vertical="center" wrapText="1"/>
    </xf>
    <xf numFmtId="0" fontId="1" fillId="0" borderId="6" xfId="0" applyFont="1" applyBorder="1" applyAlignment="1">
      <alignment vertical="center" wrapText="1"/>
    </xf>
    <xf numFmtId="0" fontId="2" fillId="0" borderId="6" xfId="0" applyFont="1" applyBorder="1" applyAlignment="1">
      <alignment vertical="center" wrapText="1"/>
    </xf>
    <xf numFmtId="9" fontId="1" fillId="0" borderId="0" xfId="0" applyNumberFormat="1" applyFont="1" applyAlignment="1">
      <alignment vertical="center" wrapText="1"/>
    </xf>
    <xf numFmtId="0" fontId="1" fillId="2" borderId="6" xfId="0" applyFont="1" applyFill="1" applyBorder="1" applyAlignment="1">
      <alignment vertical="center" wrapText="1"/>
    </xf>
    <xf numFmtId="9" fontId="4" fillId="3" borderId="6" xfId="0" applyNumberFormat="1" applyFont="1" applyFill="1" applyBorder="1" applyAlignment="1">
      <alignment horizontal="center" vertical="center" wrapText="1"/>
    </xf>
    <xf numFmtId="0" fontId="1" fillId="2" borderId="7" xfId="0" applyFont="1" applyFill="1" applyBorder="1" applyAlignment="1">
      <alignment vertical="center" wrapText="1"/>
    </xf>
    <xf numFmtId="0" fontId="6" fillId="0" borderId="0" xfId="0" applyFont="1"/>
    <xf numFmtId="0" fontId="5" fillId="0" borderId="0" xfId="0" applyFont="1" applyAlignment="1">
      <alignment horizontal="center"/>
    </xf>
    <xf numFmtId="0" fontId="6" fillId="0" borderId="0" xfId="0" applyFont="1" applyAlignment="1">
      <alignment horizontal="center"/>
    </xf>
    <xf numFmtId="0" fontId="0" fillId="0" borderId="6" xfId="0" applyBorder="1" applyAlignment="1">
      <alignment horizontal="left" vertical="top" wrapText="1"/>
    </xf>
    <xf numFmtId="0" fontId="0" fillId="0" borderId="6" xfId="0" applyBorder="1" applyAlignment="1">
      <alignment horizontal="center" vertical="center"/>
    </xf>
    <xf numFmtId="0" fontId="2" fillId="4" borderId="6" xfId="0" applyFont="1" applyFill="1" applyBorder="1" applyAlignment="1">
      <alignment vertical="center" wrapText="1"/>
    </xf>
    <xf numFmtId="0" fontId="5" fillId="0" borderId="1" xfId="0" applyFont="1" applyBorder="1" applyAlignment="1">
      <alignment horizontal="center"/>
    </xf>
    <xf numFmtId="0" fontId="5" fillId="0" borderId="8" xfId="0" applyFont="1" applyBorder="1" applyAlignment="1">
      <alignment horizontal="center"/>
    </xf>
    <xf numFmtId="0" fontId="5" fillId="0" borderId="2" xfId="0" applyFont="1" applyBorder="1" applyAlignment="1">
      <alignment horizontal="center"/>
    </xf>
    <xf numFmtId="0" fontId="5" fillId="0" borderId="3" xfId="0" applyFont="1" applyBorder="1" applyAlignment="1">
      <alignment horizontal="center"/>
    </xf>
    <xf numFmtId="0" fontId="5" fillId="0" borderId="5" xfId="0" applyFont="1" applyBorder="1" applyAlignment="1">
      <alignment horizontal="center"/>
    </xf>
    <xf numFmtId="0" fontId="6" fillId="0" borderId="3" xfId="0" applyFont="1" applyBorder="1" applyAlignment="1">
      <alignment horizontal="center"/>
    </xf>
    <xf numFmtId="0" fontId="6" fillId="0" borderId="4" xfId="0" applyFont="1" applyBorder="1" applyAlignment="1">
      <alignment horizontal="center"/>
    </xf>
    <xf numFmtId="0" fontId="4" fillId="3" borderId="6" xfId="0" applyFont="1" applyFill="1" applyBorder="1" applyAlignment="1">
      <alignment horizontal="center" vertical="center" wrapText="1"/>
    </xf>
    <xf numFmtId="0" fontId="1" fillId="2" borderId="6"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534A4-ACAF-0547-8A21-CD549B8BF81E}">
  <dimension ref="A1:O14"/>
  <sheetViews>
    <sheetView tabSelected="1" topLeftCell="A10" workbookViewId="0">
      <selection activeCell="J13" sqref="J13"/>
    </sheetView>
  </sheetViews>
  <sheetFormatPr defaultColWidth="11" defaultRowHeight="15.6" x14ac:dyDescent="0.3"/>
  <cols>
    <col min="3" max="3" width="7.3984375" bestFit="1" customWidth="1"/>
    <col min="4" max="4" width="22.59765625" customWidth="1"/>
    <col min="5" max="5" width="18.8984375" customWidth="1"/>
    <col min="6" max="6" width="19.3984375" customWidth="1"/>
    <col min="7" max="7" width="21.5" customWidth="1"/>
    <col min="8" max="8" width="29" customWidth="1"/>
    <col min="10" max="10" width="38" customWidth="1"/>
  </cols>
  <sheetData>
    <row r="1" spans="1:15" ht="16.2" thickBot="1" x14ac:dyDescent="0.35"/>
    <row r="2" spans="1:15" ht="21.6" thickBot="1" x14ac:dyDescent="0.45">
      <c r="D2" s="16" t="s">
        <v>0</v>
      </c>
      <c r="E2" s="17"/>
      <c r="F2" s="17"/>
      <c r="G2" s="17"/>
      <c r="H2" s="18"/>
    </row>
    <row r="3" spans="1:15" ht="21.6" thickBot="1" x14ac:dyDescent="0.45">
      <c r="D3" s="19" t="s">
        <v>1</v>
      </c>
      <c r="E3" s="20"/>
      <c r="F3" s="21" t="s">
        <v>67</v>
      </c>
      <c r="G3" s="22"/>
      <c r="H3" s="10"/>
    </row>
    <row r="4" spans="1:15" ht="21" x14ac:dyDescent="0.4">
      <c r="D4" s="11"/>
      <c r="E4" s="11"/>
      <c r="F4" s="12"/>
      <c r="G4" s="12"/>
      <c r="H4" s="10"/>
    </row>
    <row r="5" spans="1:15" x14ac:dyDescent="0.3">
      <c r="A5" s="24" t="s">
        <v>2</v>
      </c>
      <c r="B5" s="24"/>
      <c r="C5" s="7" t="s">
        <v>3</v>
      </c>
      <c r="D5" s="9" t="s">
        <v>4</v>
      </c>
      <c r="E5" s="9" t="s">
        <v>5</v>
      </c>
      <c r="F5" s="9" t="s">
        <v>6</v>
      </c>
      <c r="G5" s="9" t="s">
        <v>7</v>
      </c>
      <c r="H5" s="7" t="s">
        <v>8</v>
      </c>
      <c r="I5" s="7" t="s">
        <v>9</v>
      </c>
      <c r="J5" s="7" t="s">
        <v>10</v>
      </c>
    </row>
    <row r="6" spans="1:15" ht="156" x14ac:dyDescent="0.3">
      <c r="A6" s="23" t="s">
        <v>11</v>
      </c>
      <c r="B6" s="23"/>
      <c r="C6" s="8">
        <v>0.05</v>
      </c>
      <c r="D6" s="5" t="s">
        <v>12</v>
      </c>
      <c r="E6" s="5" t="s">
        <v>13</v>
      </c>
      <c r="F6" s="15" t="s">
        <v>14</v>
      </c>
      <c r="G6" s="5" t="s">
        <v>15</v>
      </c>
      <c r="H6" s="5" t="s">
        <v>16</v>
      </c>
      <c r="I6" s="14">
        <v>3</v>
      </c>
      <c r="J6" s="13" t="s">
        <v>60</v>
      </c>
    </row>
    <row r="7" spans="1:15" ht="156" x14ac:dyDescent="0.3">
      <c r="A7" s="23" t="s">
        <v>17</v>
      </c>
      <c r="B7" s="23"/>
      <c r="C7" s="8">
        <v>0.15</v>
      </c>
      <c r="D7" s="5" t="s">
        <v>18</v>
      </c>
      <c r="E7" s="5" t="s">
        <v>19</v>
      </c>
      <c r="F7" s="15" t="s">
        <v>20</v>
      </c>
      <c r="G7" s="5" t="s">
        <v>21</v>
      </c>
      <c r="H7" s="5" t="s">
        <v>22</v>
      </c>
      <c r="I7" s="14">
        <v>9</v>
      </c>
      <c r="J7" s="13" t="s">
        <v>61</v>
      </c>
    </row>
    <row r="8" spans="1:15" ht="218.4" x14ac:dyDescent="0.3">
      <c r="A8" s="23" t="s">
        <v>23</v>
      </c>
      <c r="B8" s="23"/>
      <c r="C8" s="8">
        <v>0.15</v>
      </c>
      <c r="D8" s="5" t="s">
        <v>24</v>
      </c>
      <c r="E8" s="5" t="s">
        <v>25</v>
      </c>
      <c r="F8" s="15" t="s">
        <v>26</v>
      </c>
      <c r="G8" s="5" t="s">
        <v>27</v>
      </c>
      <c r="H8" s="5" t="s">
        <v>28</v>
      </c>
      <c r="I8" s="14">
        <v>8</v>
      </c>
      <c r="J8" s="13" t="s">
        <v>65</v>
      </c>
    </row>
    <row r="9" spans="1:15" ht="202.8" x14ac:dyDescent="0.3">
      <c r="A9" s="23" t="s">
        <v>29</v>
      </c>
      <c r="B9" s="23"/>
      <c r="C9" s="8">
        <v>0.15</v>
      </c>
      <c r="D9" s="5" t="s">
        <v>30</v>
      </c>
      <c r="E9" s="15" t="s">
        <v>31</v>
      </c>
      <c r="F9" s="5" t="s">
        <v>32</v>
      </c>
      <c r="G9" s="5" t="s">
        <v>33</v>
      </c>
      <c r="H9" s="5" t="s">
        <v>34</v>
      </c>
      <c r="I9" s="14">
        <v>6</v>
      </c>
      <c r="J9" s="13" t="s">
        <v>62</v>
      </c>
    </row>
    <row r="10" spans="1:15" ht="187.2" x14ac:dyDescent="0.3">
      <c r="A10" s="23" t="s">
        <v>35</v>
      </c>
      <c r="B10" s="23"/>
      <c r="C10" s="8">
        <v>0.1</v>
      </c>
      <c r="D10" s="5" t="s">
        <v>36</v>
      </c>
      <c r="E10" s="5" t="s">
        <v>37</v>
      </c>
      <c r="F10" s="15" t="s">
        <v>38</v>
      </c>
      <c r="G10" s="5" t="s">
        <v>39</v>
      </c>
      <c r="H10" s="5" t="s">
        <v>40</v>
      </c>
      <c r="I10" s="14">
        <v>6</v>
      </c>
      <c r="J10" s="13" t="s">
        <v>63</v>
      </c>
    </row>
    <row r="11" spans="1:15" ht="109.2" x14ac:dyDescent="0.3">
      <c r="A11" s="23" t="s">
        <v>41</v>
      </c>
      <c r="B11" s="23"/>
      <c r="C11" s="8">
        <v>0.2</v>
      </c>
      <c r="D11" s="5" t="s">
        <v>42</v>
      </c>
      <c r="E11" s="5" t="s">
        <v>43</v>
      </c>
      <c r="F11" s="15" t="s">
        <v>44</v>
      </c>
      <c r="G11" s="5" t="s">
        <v>45</v>
      </c>
      <c r="H11" s="5" t="s">
        <v>46</v>
      </c>
      <c r="I11" s="14">
        <v>8</v>
      </c>
      <c r="J11" s="13" t="s">
        <v>64</v>
      </c>
    </row>
    <row r="12" spans="1:15" ht="171.6" x14ac:dyDescent="0.3">
      <c r="A12" s="23" t="s">
        <v>47</v>
      </c>
      <c r="B12" s="23"/>
      <c r="C12" s="8">
        <v>0.05</v>
      </c>
      <c r="D12" s="5" t="s">
        <v>48</v>
      </c>
      <c r="E12" s="5" t="s">
        <v>49</v>
      </c>
      <c r="F12" s="5" t="s">
        <v>50</v>
      </c>
      <c r="G12" s="15" t="s">
        <v>51</v>
      </c>
      <c r="H12" s="5" t="s">
        <v>52</v>
      </c>
      <c r="I12" s="14">
        <v>4</v>
      </c>
      <c r="J12" s="13" t="s">
        <v>66</v>
      </c>
    </row>
    <row r="13" spans="1:15" ht="156" x14ac:dyDescent="0.3">
      <c r="A13" s="23" t="s">
        <v>53</v>
      </c>
      <c r="B13" s="23"/>
      <c r="C13" s="8">
        <v>0.15</v>
      </c>
      <c r="D13" s="5" t="s">
        <v>54</v>
      </c>
      <c r="E13" s="5" t="s">
        <v>55</v>
      </c>
      <c r="F13" s="15" t="s">
        <v>56</v>
      </c>
      <c r="G13" s="5" t="s">
        <v>57</v>
      </c>
      <c r="H13" s="5" t="s">
        <v>58</v>
      </c>
      <c r="I13" s="14">
        <v>6</v>
      </c>
      <c r="J13" s="13" t="s">
        <v>68</v>
      </c>
    </row>
    <row r="14" spans="1:15" ht="15.9" customHeight="1" x14ac:dyDescent="0.3">
      <c r="A14" s="1"/>
      <c r="B14" s="1"/>
      <c r="C14" s="6"/>
      <c r="D14" s="1"/>
      <c r="E14" s="1"/>
      <c r="F14" s="1"/>
      <c r="G14" s="1"/>
      <c r="H14" s="4" t="s">
        <v>59</v>
      </c>
      <c r="I14" s="4">
        <f>SUM(I6:I13)</f>
        <v>50</v>
      </c>
      <c r="J14" s="2"/>
      <c r="K14" s="3"/>
      <c r="L14" s="3"/>
      <c r="M14" s="3"/>
      <c r="N14" s="3"/>
      <c r="O14" s="3"/>
    </row>
  </sheetData>
  <mergeCells count="12">
    <mergeCell ref="A13:B13"/>
    <mergeCell ref="A5:B5"/>
    <mergeCell ref="A6:B6"/>
    <mergeCell ref="A7:B7"/>
    <mergeCell ref="A8:B8"/>
    <mergeCell ref="A9:B9"/>
    <mergeCell ref="A10:B10"/>
    <mergeCell ref="D2:H2"/>
    <mergeCell ref="D3:E3"/>
    <mergeCell ref="F3:G3"/>
    <mergeCell ref="A11:B11"/>
    <mergeCell ref="A12:B12"/>
  </mergeCells>
  <dataValidations count="5">
    <dataValidation type="decimal" allowBlank="1" showInputMessage="1" showErrorMessage="1" sqref="I12 I6" xr:uid="{C6B0B0DF-725F-6848-8E60-111E53B74E21}">
      <formula1>0</formula1>
      <formula2>5</formula2>
    </dataValidation>
    <dataValidation type="decimal" allowBlank="1" showInputMessage="1" showErrorMessage="1" sqref="I13 I7:I9" xr:uid="{38955329-2F37-5442-A98B-3F2606B718D6}">
      <formula1>0</formula1>
      <formula2>15</formula2>
    </dataValidation>
    <dataValidation type="decimal" allowBlank="1" showInputMessage="1" showErrorMessage="1" sqref="I10" xr:uid="{6FA841A3-B0F0-1D46-94C9-5ADCE5927856}">
      <formula1>0</formula1>
      <formula2>10</formula2>
    </dataValidation>
    <dataValidation type="decimal" allowBlank="1" showInputMessage="1" showErrorMessage="1" sqref="I11" xr:uid="{021DA0E1-7C0A-2E47-8E37-66307C4D01C2}">
      <formula1>0</formula1>
      <formula2>20</formula2>
    </dataValidation>
    <dataValidation type="decimal" allowBlank="1" showInputMessage="1" showErrorMessage="1" sqref="I14" xr:uid="{080237B6-8B52-264B-AAD1-E02C01F511E8}">
      <formula1>0</formula1>
      <formula2>100</formula2>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Joel Pinney</dc:creator>
  <cp:keywords/>
  <dc:description/>
  <cp:lastModifiedBy>Smith, Ian</cp:lastModifiedBy>
  <cp:revision/>
  <dcterms:created xsi:type="dcterms:W3CDTF">2025-12-11T10:49:02Z</dcterms:created>
  <dcterms:modified xsi:type="dcterms:W3CDTF">2026-01-09T18:12:37Z</dcterms:modified>
  <cp:category/>
  <cp:contentStatus/>
</cp:coreProperties>
</file>