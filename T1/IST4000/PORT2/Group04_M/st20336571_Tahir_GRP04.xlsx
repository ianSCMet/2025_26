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G:\2025_26\T1\IST4000\PORT2\Group04\"/>
    </mc:Choice>
  </mc:AlternateContent>
  <xr:revisionPtr revIDLastSave="0" documentId="8_{35AD606A-AEDC-4EF3-BD90-FAF3587E5C91}" xr6:coauthVersionLast="47" xr6:coauthVersionMax="47" xr10:uidLastSave="{00000000-0000-0000-0000-000000000000}"/>
  <bookViews>
    <workbookView xWindow="38290" yWindow="-1890" windowWidth="38620" windowHeight="21100" xr2:uid="{13D9909D-480D-0F4A-9128-EABB1A0C4E71}"/>
  </bookViews>
  <sheets>
    <sheet name="Sheet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14" i="1" l="1"/>
</calcChain>
</file>

<file path=xl/sharedStrings.xml><?xml version="1.0" encoding="utf-8"?>
<sst xmlns="http://schemas.openxmlformats.org/spreadsheetml/2006/main" count="69" uniqueCount="69">
  <si>
    <t xml:space="preserve">IST4000 Explore PORT2 Marking </t>
  </si>
  <si>
    <t xml:space="preserve">Student Number: </t>
  </si>
  <si>
    <t>Criteria</t>
  </si>
  <si>
    <t>Weight</t>
  </si>
  <si>
    <t>0–39% (Fail)</t>
  </si>
  <si>
    <t>40–49% (Pass / 3rd)</t>
  </si>
  <si>
    <t>50–59% (Lower 2:2)</t>
  </si>
  <si>
    <t>60–69% (Upper 2:1)</t>
  </si>
  <si>
    <t>70%+ (First)</t>
  </si>
  <si>
    <t>Grade</t>
  </si>
  <si>
    <t xml:space="preserve">Comments </t>
  </si>
  <si>
    <t>Introduction</t>
  </si>
  <si>
    <t>No introduction, irrelevant, or unclear. No mention of case study or aims. Poor structure.</t>
  </si>
  <si>
    <t>Very brief, limited context, case study barely referenced. Aims vague or generic.</t>
  </si>
  <si>
    <t>Adequate introduction, some context, aims mentioned but weakly justified. Organisation basic.</t>
  </si>
  <si>
    <t>Clear, structured introduction. Good explanation of case study relevance and aims. Well-written.</t>
  </si>
  <si>
    <t>Excellent, engaging introduction. Strong context-setting, sharply defined aims, well justified. Professional and academic tone.</t>
  </si>
  <si>
    <t>Research</t>
  </si>
  <si>
    <t>No research or inappropriate sources (blogs, Wikipedia). Content inaccurate/irrelevant.</t>
  </si>
  <si>
    <t>Minimal research, mostly weak websites. No academic references. Descriptive, little analysis.</t>
  </si>
  <si>
    <t>Some relevant sources, mix of websites and a few academic/professional. Limited analysis. Application weak.</t>
  </si>
  <si>
    <t>Good range of credible sources (journals, reports, books). Balanced, mostly accurate discussion. Clear links to project.</t>
  </si>
  <si>
    <t>Wide range of high-quality academic sources. Critical analysis and synthesis. Research consistently informs design. Excellent accuracy and depth.</t>
  </si>
  <si>
    <t>End User Consideration</t>
  </si>
  <si>
    <t>No evidence of adapting content for 12–14-year-olds. Materials wholly unsuitable.</t>
  </si>
  <si>
    <t>Minimal attempt to adapt content. Often too technical or simplistic. Weak engagement.</t>
  </si>
  <si>
    <t>Some effort to adapt resources. Language partly age appropriate. Engagement limited or inconsistent.</t>
  </si>
  <si>
    <t>Good awareness of target age group. Mostly clear, accessible, engaging. Strong attempt to tailor learning.</t>
  </si>
  <si>
    <t>Outstanding adaptation. Resources consistently engaging, creative, age appropriate. Deep understanding of learner needs and pedagogy.</t>
  </si>
  <si>
    <t>Design Documentation</t>
  </si>
  <si>
    <t>No evidence of planning. No sketches, storyboards, or rationale.</t>
  </si>
  <si>
    <t>Very basic planning (single sketch/outline). Little explanation of choices. Weak alignment to artefact.</t>
  </si>
  <si>
    <t>Some documentation (storyboard, outline, flowchart). Justification present but underdeveloped.</t>
  </si>
  <si>
    <t>Good quality documentation (wireframes, storyboards, prototypes). Clear rationale, links to research. Organised process.</t>
  </si>
  <si>
    <t>Comprehensive, professional documentation. Multiple artefacts (iterations, prototypes). Evidence of iterative design. Excellent justification linking research to design.</t>
  </si>
  <si>
    <t>Legal &amp; Ethical Considerations</t>
  </si>
  <si>
    <t>No awareness of ethics/legal issues. Work biased, exclusionary, or inappropriate.</t>
  </si>
  <si>
    <t>Minimal acknowledgement, generic statements (e.g., “AI has bias”). No application to project.</t>
  </si>
  <si>
    <t>Some awareness (bias, inclusivity, accessibility). Application weak or inconsistent.</t>
  </si>
  <si>
    <t>Good awareness of ethics and inclusivity. Resources fair, age-appropriate, accessible. Applied well to design.</t>
  </si>
  <si>
    <t>Excellent, critical awareness of ethics/legal issues. Thoughtful, consistent consideration of inclusivity, accessibility, and bias integrated into design and evaluation.</t>
  </si>
  <si>
    <t>Evidence of Built Project</t>
  </si>
  <si>
    <t>No artefact produced or evidence missing. Artefact irrelevant or incomplete.</t>
  </si>
  <si>
    <t>Artefact incomplete or poorly executed. Limited or unclear link to design docs.</t>
  </si>
  <si>
    <t>Functional artefact but basic. Limited creativity or polish. Some link to design documentation.</t>
  </si>
  <si>
    <t>Complete, functional, engaging artefact. Clear alignment with design documentation. Creative and usable.</t>
  </si>
  <si>
    <t>Highly polished, professional artefact. Creative, engaging, excellent execution. Strong documentation link. High usability and fit for purpose.</t>
  </si>
  <si>
    <t>Future Work</t>
  </si>
  <si>
    <t>No discussion of improvements. Work presented as “finished”.</t>
  </si>
  <si>
    <t>Minimal acknowledgement. Suggestions vague or unrealistic.</t>
  </si>
  <si>
    <t>Some recognition of limitations. Basic or generic suggestions.</t>
  </si>
  <si>
    <t>Clear recognition of strengths/weaknesses. Realistic, constructive improvements proposed.</t>
  </si>
  <si>
    <t>Critical and forward-thinking. Innovative suggestions for development. Strong awareness of limitations and growth potential.</t>
  </si>
  <si>
    <t>Individual Reflection</t>
  </si>
  <si>
    <t>No reflection submitted. Or purely descriptive (“I did X”) with no insight.</t>
  </si>
  <si>
    <t>Minimal reflection. Role vague. Little honesty or evidence of learning. Weak evaluation.</t>
  </si>
  <si>
    <t>Some reflection. Role described. Mentions skills but limited depth or critique.</t>
  </si>
  <si>
    <t>Honest, thoughtful reflection. Clear description of role, contribution, skills. Good evaluation of progress.</t>
  </si>
  <si>
    <t>Excellent, highly self-aware reflection. Deep critical evaluation of role, contribution, and skills. Strong evidence of personal/professional development.</t>
  </si>
  <si>
    <t>Total</t>
  </si>
  <si>
    <t xml:space="preserve">Not a bad Introduction, but I would have liked to have seen clearer aims defined - Bullet points would have helped here. You make some broad claims here about the effects of AI, but you haven't cited any research that supports this. </t>
  </si>
  <si>
    <t>Could the inclusion of an 'AI robot shaped like a human' send out a message that it might replace humans? This is very generic text that feels artificial. There are no sketches, mock-ups… I'm not sure at this stage what is being produced. It says lesson structure, as if its a Powerpoint presentation, but that has not been explicitly stated anywhere.</t>
  </si>
  <si>
    <t xml:space="preserve">The reflection starts well, but turns into a repeat of Future Work. The idea is that you reflect on what happened, discuss what went well and what didn't and how you felt about that, and then draw some conclusions about what you would do differently moving forward. </t>
  </si>
  <si>
    <t>st20336571</t>
  </si>
  <si>
    <r>
      <t xml:space="preserve">The reference to Luckin </t>
    </r>
    <r>
      <rPr>
        <i/>
        <sz val="12"/>
        <color theme="1"/>
        <rFont val="Aptos Narrow"/>
        <family val="2"/>
        <scheme val="minor"/>
      </rPr>
      <t>et al</t>
    </r>
    <r>
      <rPr>
        <sz val="12"/>
        <color theme="1"/>
        <rFont val="Aptos Narrow"/>
        <family val="2"/>
        <scheme val="minor"/>
      </rPr>
      <t xml:space="preserve"> seems like an odd inclusion in this context, as their 2016 paper was making a case for AI to </t>
    </r>
    <r>
      <rPr>
        <i/>
        <sz val="12"/>
        <color theme="1"/>
        <rFont val="Aptos Narrow"/>
        <family val="2"/>
        <scheme val="minor"/>
      </rPr>
      <t>be</t>
    </r>
    <r>
      <rPr>
        <sz val="12"/>
        <color theme="1"/>
        <rFont val="Aptos Narrow"/>
        <family val="2"/>
        <scheme val="minor"/>
      </rPr>
      <t xml:space="preserve"> included in the classroom. We have been at a stage for around 4 years now where it has been… surely research around the effects </t>
    </r>
    <r>
      <rPr>
        <i/>
        <sz val="12"/>
        <color theme="1"/>
        <rFont val="Aptos Narrow"/>
        <family val="2"/>
        <scheme val="minor"/>
      </rPr>
      <t xml:space="preserve">in </t>
    </r>
    <r>
      <rPr>
        <sz val="12"/>
        <color theme="1"/>
        <rFont val="Aptos Narrow"/>
        <family val="2"/>
        <scheme val="minor"/>
      </rPr>
      <t>the classroom would be more useful to you? The research is farily broad and there is not a great deal to tie it into the specific needs of the project. By the end of the research we should have an idea of what form the artefact will take.</t>
    </r>
  </si>
  <si>
    <t>A lot of repetition of sources - Limited research. What is an example of a 'Dyslexia friendly font'?Which ones are you using and why were they chosen? Which aspects of GDPR does your project align with? There was not a lot of depth here.</t>
  </si>
  <si>
    <t>If you're going to make statements, such as the various biases in LLMs, you need to provide evidence of this - what research is there to support this? How specifically have you designed your artefact to ensure it is age-appropriate? What research was undertaken? An awareness is demonstrated, but I am not picking up a sense of understanding.</t>
  </si>
  <si>
    <t>Is branding it a 'Learning Resource' going to be attractive to a 12-14 year old demographic? Gamification research would lean towards more subtle approaches. In what way is this interactive? Every slide is an image with bullet points of text. At what point are the students interacting with the resources? A lot more could have been done here - videos, case studies, quizzes. How are you testing knowledge and understanding? Two members of the group did submit the completed artefact. It is complete and self-contained, and aligns with the documentation.</t>
  </si>
  <si>
    <t>What additional resources would you need? The Chatbot test relies on the student already knowing what a good source of information is in order to gauge the response from the chatbot.. Maybe this is where case studies and moreinteractive elements in the artefact could have helped strengthen this understanding.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</si>
</sst>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2"/>
      <color theme="1"/>
      <name val="Aptos Narrow"/>
      <family val="2"/>
      <scheme val="minor"/>
    </font>
    <font>
      <b/>
      <sz val="12"/>
      <color rgb="FF000000"/>
      <name val="Times New Roman"/>
      <family val="1"/>
    </font>
    <font>
      <sz val="12"/>
      <color rgb="FF000000"/>
      <name val="Times New Roman"/>
      <family val="1"/>
    </font>
    <font>
      <sz val="11"/>
      <color rgb="FF000000"/>
      <name val="Calibri"/>
      <family val="2"/>
    </font>
    <font>
      <b/>
      <sz val="14"/>
      <color rgb="FF000000"/>
      <name val="Times New Roman"/>
      <family val="1"/>
    </font>
    <font>
      <b/>
      <sz val="16"/>
      <color theme="1"/>
      <name val="Aptos Narrow"/>
      <scheme val="minor"/>
    </font>
    <font>
      <sz val="16"/>
      <color theme="1"/>
      <name val="Aptos Narrow"/>
      <scheme val="minor"/>
    </font>
    <font>
      <sz val="16"/>
      <color theme="1"/>
      <name val="Aptos Narrow"/>
      <family val="2"/>
      <scheme val="minor"/>
    </font>
    <font>
      <i/>
      <sz val="12"/>
      <color theme="1"/>
      <name val="Aptos Narrow"/>
      <family val="2"/>
      <scheme val="minor"/>
    </font>
  </fonts>
  <fills count="5">
    <fill>
      <patternFill patternType="none"/>
    </fill>
    <fill>
      <patternFill patternType="gray125"/>
    </fill>
    <fill>
      <patternFill patternType="solid">
        <fgColor theme="7" tint="0.59999389629810485"/>
        <bgColor indexed="64"/>
      </patternFill>
    </fill>
    <fill>
      <patternFill patternType="solid">
        <fgColor theme="0" tint="-0.14999847407452621"/>
        <bgColor indexed="64"/>
      </patternFill>
    </fill>
    <fill>
      <patternFill patternType="solid">
        <fgColor rgb="FFFFFF00"/>
        <bgColor indexed="64"/>
      </patternFill>
    </fill>
  </fills>
  <borders count="9">
    <border>
      <left/>
      <right/>
      <top/>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bottom style="medium">
        <color indexed="64"/>
      </bottom>
      <diagonal/>
    </border>
    <border>
      <left/>
      <right style="medium">
        <color indexed="64"/>
      </right>
      <top/>
      <bottom style="medium">
        <color indexed="64"/>
      </bottom>
      <diagonal/>
    </border>
    <border>
      <left/>
      <right/>
      <top/>
      <bottom style="medium">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top style="medium">
        <color indexed="64"/>
      </top>
      <bottom style="medium">
        <color indexed="64"/>
      </bottom>
      <diagonal/>
    </border>
  </borders>
  <cellStyleXfs count="1">
    <xf numFmtId="0" fontId="0" fillId="0" borderId="0"/>
  </cellStyleXfs>
  <cellXfs count="26">
    <xf numFmtId="0" fontId="0" fillId="0" borderId="0" xfId="0"/>
    <xf numFmtId="0" fontId="1" fillId="0" borderId="0" xfId="0" applyFont="1" applyAlignment="1">
      <alignment vertical="center" wrapText="1"/>
    </xf>
    <xf numFmtId="0" fontId="2" fillId="0" borderId="0" xfId="0" applyFont="1" applyAlignment="1">
      <alignment vertical="center" wrapText="1"/>
    </xf>
    <xf numFmtId="0" fontId="3" fillId="0" borderId="0" xfId="0" applyFont="1" applyAlignment="1">
      <alignment vertical="center" wrapText="1"/>
    </xf>
    <xf numFmtId="0" fontId="1" fillId="0" borderId="6" xfId="0" applyFont="1" applyBorder="1" applyAlignment="1">
      <alignment vertical="center" wrapText="1"/>
    </xf>
    <xf numFmtId="0" fontId="2" fillId="0" borderId="6" xfId="0" applyFont="1" applyBorder="1" applyAlignment="1">
      <alignment vertical="center" wrapText="1"/>
    </xf>
    <xf numFmtId="9" fontId="1" fillId="0" borderId="0" xfId="0" applyNumberFormat="1" applyFont="1" applyAlignment="1">
      <alignment vertical="center" wrapText="1"/>
    </xf>
    <xf numFmtId="0" fontId="1" fillId="2" borderId="6" xfId="0" applyFont="1" applyFill="1" applyBorder="1" applyAlignment="1">
      <alignment vertical="center" wrapText="1"/>
    </xf>
    <xf numFmtId="9" fontId="4" fillId="3" borderId="6" xfId="0" applyNumberFormat="1" applyFont="1" applyFill="1" applyBorder="1" applyAlignment="1">
      <alignment horizontal="center" vertical="center" wrapText="1"/>
    </xf>
    <xf numFmtId="0" fontId="1" fillId="2" borderId="7" xfId="0" applyFont="1" applyFill="1" applyBorder="1" applyAlignment="1">
      <alignment vertical="center" wrapText="1"/>
    </xf>
    <xf numFmtId="0" fontId="6" fillId="0" borderId="0" xfId="0" applyFont="1"/>
    <xf numFmtId="0" fontId="5" fillId="0" borderId="0" xfId="0" applyFont="1" applyAlignment="1">
      <alignment horizontal="center"/>
    </xf>
    <xf numFmtId="0" fontId="6" fillId="0" borderId="0" xfId="0" applyFont="1" applyAlignment="1">
      <alignment horizontal="center"/>
    </xf>
    <xf numFmtId="0" fontId="4" fillId="3" borderId="6" xfId="0" applyFont="1" applyFill="1" applyBorder="1" applyAlignment="1">
      <alignment horizontal="center" vertical="center" wrapText="1"/>
    </xf>
    <xf numFmtId="0" fontId="1" fillId="2" borderId="6" xfId="0" applyFont="1" applyFill="1" applyBorder="1" applyAlignment="1">
      <alignment vertical="center" wrapText="1"/>
    </xf>
    <xf numFmtId="0" fontId="5" fillId="0" borderId="1" xfId="0" applyFont="1" applyBorder="1" applyAlignment="1">
      <alignment horizontal="center"/>
    </xf>
    <xf numFmtId="0" fontId="5" fillId="0" borderId="8" xfId="0" applyFont="1" applyBorder="1" applyAlignment="1">
      <alignment horizontal="center"/>
    </xf>
    <xf numFmtId="0" fontId="5" fillId="0" borderId="2" xfId="0" applyFont="1" applyBorder="1" applyAlignment="1">
      <alignment horizontal="center"/>
    </xf>
    <xf numFmtId="0" fontId="5" fillId="0" borderId="3" xfId="0" applyFont="1" applyBorder="1" applyAlignment="1">
      <alignment horizontal="center"/>
    </xf>
    <xf numFmtId="0" fontId="5" fillId="0" borderId="5" xfId="0" applyFont="1" applyBorder="1" applyAlignment="1">
      <alignment horizontal="center"/>
    </xf>
    <xf numFmtId="0" fontId="6" fillId="0" borderId="4" xfId="0" applyFont="1" applyBorder="1" applyAlignment="1">
      <alignment horizontal="center"/>
    </xf>
    <xf numFmtId="0" fontId="7" fillId="0" borderId="3" xfId="0" applyFont="1" applyBorder="1" applyAlignment="1">
      <alignment horizontal="center"/>
    </xf>
    <xf numFmtId="0" fontId="2" fillId="4" borderId="6" xfId="0" applyFont="1" applyFill="1" applyBorder="1" applyAlignment="1">
      <alignment vertical="center" wrapText="1"/>
    </xf>
    <xf numFmtId="0" fontId="0" fillId="0" borderId="6" xfId="0" applyBorder="1" applyAlignment="1">
      <alignment horizontal="center" vertical="center"/>
    </xf>
    <xf numFmtId="0" fontId="0" fillId="0" borderId="6" xfId="0" applyBorder="1" applyAlignment="1">
      <alignment horizontal="left" vertical="top" wrapText="1"/>
    </xf>
    <xf numFmtId="0" fontId="2" fillId="0" borderId="6" xfId="0" applyFont="1" applyFill="1" applyBorder="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1534A4-ACAF-0547-8A21-CD549B8BF81E}">
  <dimension ref="A1:O14"/>
  <sheetViews>
    <sheetView tabSelected="1" workbookViewId="0">
      <selection activeCell="K13" sqref="K13"/>
    </sheetView>
  </sheetViews>
  <sheetFormatPr defaultColWidth="11" defaultRowHeight="15.6" x14ac:dyDescent="0.3"/>
  <cols>
    <col min="3" max="3" width="7.3984375" bestFit="1" customWidth="1"/>
    <col min="4" max="4" width="22.59765625" customWidth="1"/>
    <col min="5" max="5" width="18.8984375" customWidth="1"/>
    <col min="6" max="6" width="19.3984375" customWidth="1"/>
    <col min="7" max="7" width="21.5" customWidth="1"/>
    <col min="8" max="8" width="29" customWidth="1"/>
    <col min="10" max="10" width="38" customWidth="1"/>
  </cols>
  <sheetData>
    <row r="1" spans="1:15" ht="16.2" thickBot="1" x14ac:dyDescent="0.35"/>
    <row r="2" spans="1:15" ht="21.6" thickBot="1" x14ac:dyDescent="0.45">
      <c r="D2" s="15" t="s">
        <v>0</v>
      </c>
      <c r="E2" s="16"/>
      <c r="F2" s="16"/>
      <c r="G2" s="16"/>
      <c r="H2" s="17"/>
    </row>
    <row r="3" spans="1:15" ht="21.6" thickBot="1" x14ac:dyDescent="0.45">
      <c r="D3" s="18" t="s">
        <v>1</v>
      </c>
      <c r="E3" s="19"/>
      <c r="F3" s="21" t="s">
        <v>63</v>
      </c>
      <c r="G3" s="20"/>
      <c r="H3" s="10"/>
    </row>
    <row r="4" spans="1:15" ht="21" x14ac:dyDescent="0.4">
      <c r="D4" s="11"/>
      <c r="E4" s="11"/>
      <c r="F4" s="12"/>
      <c r="G4" s="12"/>
      <c r="H4" s="10"/>
    </row>
    <row r="5" spans="1:15" x14ac:dyDescent="0.3">
      <c r="A5" s="14" t="s">
        <v>2</v>
      </c>
      <c r="B5" s="14"/>
      <c r="C5" s="7" t="s">
        <v>3</v>
      </c>
      <c r="D5" s="9" t="s">
        <v>4</v>
      </c>
      <c r="E5" s="9" t="s">
        <v>5</v>
      </c>
      <c r="F5" s="9" t="s">
        <v>6</v>
      </c>
      <c r="G5" s="9" t="s">
        <v>7</v>
      </c>
      <c r="H5" s="7" t="s">
        <v>8</v>
      </c>
      <c r="I5" s="7" t="s">
        <v>9</v>
      </c>
      <c r="J5" s="7" t="s">
        <v>10</v>
      </c>
    </row>
    <row r="6" spans="1:15" ht="93.6" x14ac:dyDescent="0.3">
      <c r="A6" s="13" t="s">
        <v>11</v>
      </c>
      <c r="B6" s="13"/>
      <c r="C6" s="8">
        <v>0.05</v>
      </c>
      <c r="D6" s="5" t="s">
        <v>12</v>
      </c>
      <c r="E6" s="5" t="s">
        <v>13</v>
      </c>
      <c r="F6" s="22" t="s">
        <v>14</v>
      </c>
      <c r="G6" s="5" t="s">
        <v>15</v>
      </c>
      <c r="H6" s="5" t="s">
        <v>16</v>
      </c>
      <c r="I6" s="23">
        <v>3</v>
      </c>
      <c r="J6" s="24" t="s">
        <v>60</v>
      </c>
    </row>
    <row r="7" spans="1:15" ht="187.2" x14ac:dyDescent="0.3">
      <c r="A7" s="13" t="s">
        <v>17</v>
      </c>
      <c r="B7" s="13"/>
      <c r="C7" s="8">
        <v>0.15</v>
      </c>
      <c r="D7" s="5" t="s">
        <v>18</v>
      </c>
      <c r="E7" s="5" t="s">
        <v>19</v>
      </c>
      <c r="F7" s="22" t="s">
        <v>20</v>
      </c>
      <c r="G7" s="25" t="s">
        <v>21</v>
      </c>
      <c r="H7" s="5" t="s">
        <v>22</v>
      </c>
      <c r="I7" s="23">
        <v>8</v>
      </c>
      <c r="J7" s="24" t="s">
        <v>64</v>
      </c>
    </row>
    <row r="8" spans="1:15" ht="93.6" x14ac:dyDescent="0.3">
      <c r="A8" s="13" t="s">
        <v>23</v>
      </c>
      <c r="B8" s="13"/>
      <c r="C8" s="8">
        <v>0.15</v>
      </c>
      <c r="D8" s="5" t="s">
        <v>24</v>
      </c>
      <c r="E8" s="5" t="s">
        <v>25</v>
      </c>
      <c r="F8" s="22" t="s">
        <v>26</v>
      </c>
      <c r="G8" s="5" t="s">
        <v>27</v>
      </c>
      <c r="H8" s="5" t="s">
        <v>28</v>
      </c>
      <c r="I8" s="23">
        <v>8</v>
      </c>
      <c r="J8" s="24" t="s">
        <v>65</v>
      </c>
    </row>
    <row r="9" spans="1:15" ht="124.8" x14ac:dyDescent="0.3">
      <c r="A9" s="13" t="s">
        <v>29</v>
      </c>
      <c r="B9" s="13"/>
      <c r="C9" s="8">
        <v>0.15</v>
      </c>
      <c r="D9" s="5" t="s">
        <v>30</v>
      </c>
      <c r="E9" s="22" t="s">
        <v>31</v>
      </c>
      <c r="F9" s="5" t="s">
        <v>32</v>
      </c>
      <c r="G9" s="5" t="s">
        <v>33</v>
      </c>
      <c r="H9" s="5" t="s">
        <v>34</v>
      </c>
      <c r="I9" s="23">
        <v>7</v>
      </c>
      <c r="J9" s="24" t="s">
        <v>61</v>
      </c>
    </row>
    <row r="10" spans="1:15" ht="124.8" x14ac:dyDescent="0.3">
      <c r="A10" s="13" t="s">
        <v>35</v>
      </c>
      <c r="B10" s="13"/>
      <c r="C10" s="8">
        <v>0.1</v>
      </c>
      <c r="D10" s="5" t="s">
        <v>36</v>
      </c>
      <c r="E10" s="5" t="s">
        <v>37</v>
      </c>
      <c r="F10" s="22" t="s">
        <v>38</v>
      </c>
      <c r="G10" s="5" t="s">
        <v>39</v>
      </c>
      <c r="H10" s="5" t="s">
        <v>40</v>
      </c>
      <c r="I10" s="23">
        <v>5</v>
      </c>
      <c r="J10" s="24" t="s">
        <v>66</v>
      </c>
    </row>
    <row r="11" spans="1:15" ht="218.4" x14ac:dyDescent="0.3">
      <c r="A11" s="13" t="s">
        <v>41</v>
      </c>
      <c r="B11" s="13"/>
      <c r="C11" s="8">
        <v>0.2</v>
      </c>
      <c r="D11" s="5" t="s">
        <v>42</v>
      </c>
      <c r="E11" s="5" t="s">
        <v>43</v>
      </c>
      <c r="F11" s="25" t="s">
        <v>44</v>
      </c>
      <c r="G11" s="22" t="s">
        <v>45</v>
      </c>
      <c r="H11" s="5" t="s">
        <v>46</v>
      </c>
      <c r="I11" s="23">
        <v>12</v>
      </c>
      <c r="J11" s="24" t="s">
        <v>67</v>
      </c>
    </row>
    <row r="12" spans="1:15" ht="124.8" x14ac:dyDescent="0.3">
      <c r="A12" s="13" t="s">
        <v>47</v>
      </c>
      <c r="B12" s="13"/>
      <c r="C12" s="8">
        <v>0.05</v>
      </c>
      <c r="D12" s="5" t="s">
        <v>48</v>
      </c>
      <c r="E12" s="5" t="s">
        <v>49</v>
      </c>
      <c r="F12" s="22" t="s">
        <v>50</v>
      </c>
      <c r="G12" s="5" t="s">
        <v>51</v>
      </c>
      <c r="H12" s="5" t="s">
        <v>52</v>
      </c>
      <c r="I12" s="23">
        <v>3</v>
      </c>
      <c r="J12" s="24" t="s">
        <v>68</v>
      </c>
    </row>
    <row r="13" spans="1:15" ht="93.6" x14ac:dyDescent="0.3">
      <c r="A13" s="13" t="s">
        <v>53</v>
      </c>
      <c r="B13" s="13"/>
      <c r="C13" s="8">
        <v>0.15</v>
      </c>
      <c r="D13" s="5" t="s">
        <v>54</v>
      </c>
      <c r="E13" s="5" t="s">
        <v>55</v>
      </c>
      <c r="F13" s="22" t="s">
        <v>56</v>
      </c>
      <c r="G13" s="5" t="s">
        <v>57</v>
      </c>
      <c r="H13" s="5" t="s">
        <v>58</v>
      </c>
      <c r="I13" s="23">
        <v>7</v>
      </c>
      <c r="J13" s="24" t="s">
        <v>62</v>
      </c>
    </row>
    <row r="14" spans="1:15" ht="15.9" customHeight="1" x14ac:dyDescent="0.3">
      <c r="A14" s="1"/>
      <c r="B14" s="1"/>
      <c r="C14" s="6"/>
      <c r="D14" s="1"/>
      <c r="E14" s="1"/>
      <c r="F14" s="1"/>
      <c r="G14" s="1"/>
      <c r="H14" s="4" t="s">
        <v>59</v>
      </c>
      <c r="I14" s="4">
        <f>SUM(I6:I13)</f>
        <v>53</v>
      </c>
      <c r="J14" s="2"/>
      <c r="K14" s="3"/>
      <c r="L14" s="3"/>
      <c r="M14" s="3"/>
      <c r="N14" s="3"/>
      <c r="O14" s="3"/>
    </row>
  </sheetData>
  <mergeCells count="12">
    <mergeCell ref="D2:H2"/>
    <mergeCell ref="D3:E3"/>
    <mergeCell ref="F3:G3"/>
    <mergeCell ref="A11:B11"/>
    <mergeCell ref="A12:B12"/>
    <mergeCell ref="A13:B13"/>
    <mergeCell ref="A5:B5"/>
    <mergeCell ref="A6:B6"/>
    <mergeCell ref="A7:B7"/>
    <mergeCell ref="A8:B8"/>
    <mergeCell ref="A9:B9"/>
    <mergeCell ref="A10:B10"/>
  </mergeCells>
  <dataValidations count="5">
    <dataValidation type="decimal" allowBlank="1" showInputMessage="1" showErrorMessage="1" sqref="I12 I6" xr:uid="{C6B0B0DF-725F-6848-8E60-111E53B74E21}">
      <formula1>0</formula1>
      <formula2>5</formula2>
    </dataValidation>
    <dataValidation type="decimal" allowBlank="1" showInputMessage="1" showErrorMessage="1" sqref="I13 I7:I9" xr:uid="{38955329-2F37-5442-A98B-3F2606B718D6}">
      <formula1>0</formula1>
      <formula2>15</formula2>
    </dataValidation>
    <dataValidation type="decimal" allowBlank="1" showInputMessage="1" showErrorMessage="1" sqref="I10" xr:uid="{6FA841A3-B0F0-1D46-94C9-5ADCE5927856}">
      <formula1>0</formula1>
      <formula2>10</formula2>
    </dataValidation>
    <dataValidation type="decimal" allowBlank="1" showInputMessage="1" showErrorMessage="1" sqref="I11" xr:uid="{021DA0E1-7C0A-2E47-8E37-66307C4D01C2}">
      <formula1>0</formula1>
      <formula2>20</formula2>
    </dataValidation>
    <dataValidation type="decimal" allowBlank="1" showInputMessage="1" showErrorMessage="1" sqref="I14" xr:uid="{080237B6-8B52-264B-AAD1-E02C01F511E8}">
      <formula1>0</formula1>
      <formula2>100</formula2>
    </dataValidation>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Joel Pinney</dc:creator>
  <cp:keywords/>
  <dc:description/>
  <cp:lastModifiedBy>Smith, Ian</cp:lastModifiedBy>
  <cp:revision/>
  <dcterms:created xsi:type="dcterms:W3CDTF">2025-12-11T10:49:02Z</dcterms:created>
  <dcterms:modified xsi:type="dcterms:W3CDTF">2026-01-09T15:01:28Z</dcterms:modified>
  <cp:category/>
  <cp:contentStatus/>
</cp:coreProperties>
</file>