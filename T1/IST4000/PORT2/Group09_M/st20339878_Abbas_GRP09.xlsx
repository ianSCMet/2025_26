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G:\2025_26\T1\IST4000\PORT2\Group09\"/>
    </mc:Choice>
  </mc:AlternateContent>
  <xr:revisionPtr revIDLastSave="0" documentId="8_{CFBE976D-A5D3-4C75-B167-1CB88888A15C}" xr6:coauthVersionLast="47" xr6:coauthVersionMax="47" xr10:uidLastSave="{00000000-0000-0000-0000-000000000000}"/>
  <bookViews>
    <workbookView xWindow="38290" yWindow="-1890" windowWidth="38620" windowHeight="21100" xr2:uid="{13D9909D-480D-0F4A-9128-EABB1A0C4E71}"/>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1" l="1"/>
</calcChain>
</file>

<file path=xl/sharedStrings.xml><?xml version="1.0" encoding="utf-8"?>
<sst xmlns="http://schemas.openxmlformats.org/spreadsheetml/2006/main" count="69" uniqueCount="69">
  <si>
    <t xml:space="preserve">IST4000 Explore PORT2 Marking </t>
  </si>
  <si>
    <t xml:space="preserve">Student Number: </t>
  </si>
  <si>
    <t>Criteria</t>
  </si>
  <si>
    <t>Weight</t>
  </si>
  <si>
    <t>0–39% (Fail)</t>
  </si>
  <si>
    <t>40–49% (Pass / 3rd)</t>
  </si>
  <si>
    <t>50–59% (Lower 2:2)</t>
  </si>
  <si>
    <t>60–69% (Upper 2:1)</t>
  </si>
  <si>
    <t>70%+ (First)</t>
  </si>
  <si>
    <t>Grade</t>
  </si>
  <si>
    <t xml:space="preserve">Comments </t>
  </si>
  <si>
    <t>Introduction</t>
  </si>
  <si>
    <t>No introduction, irrelevant, or unclear. No mention of case study or aims. Poor structure.</t>
  </si>
  <si>
    <t>Very brief, limited context, case study barely referenced. Aims vague or generic.</t>
  </si>
  <si>
    <t>Adequate introduction, some context, aims mentioned but weakly justified. Organisation basic.</t>
  </si>
  <si>
    <t>Clear, structured introduction. Good explanation of case study relevance and aims. Well-written.</t>
  </si>
  <si>
    <t>Excellent, engaging introduction. Strong context-setting, sharply defined aims, well justified. Professional and academic tone.</t>
  </si>
  <si>
    <t>Research</t>
  </si>
  <si>
    <t>No research or inappropriate sources (blogs, Wikipedia). Content inaccurate/irrelevant.</t>
  </si>
  <si>
    <t>Minimal research, mostly weak websites. No academic references. Descriptive, little analysis.</t>
  </si>
  <si>
    <t>Some relevant sources, mix of websites and a few academic/professional. Limited analysis. Application weak.</t>
  </si>
  <si>
    <t>Good range of credible sources (journals, reports, books). Balanced, mostly accurate discussion. Clear links to project.</t>
  </si>
  <si>
    <t>Wide range of high-quality academic sources. Critical analysis and synthesis. Research consistently informs design. Excellent accuracy and depth.</t>
  </si>
  <si>
    <t>End User Consideration</t>
  </si>
  <si>
    <t>No evidence of adapting content for 12–14-year-olds. Materials wholly unsuitable.</t>
  </si>
  <si>
    <t>Minimal attempt to adapt content. Often too technical or simplistic. Weak engagement.</t>
  </si>
  <si>
    <t>Some effort to adapt resources. Language partly age appropriate. Engagement limited or inconsistent.</t>
  </si>
  <si>
    <t>Good awareness of target age group. Mostly clear, accessible, engaging. Strong attempt to tailor learning.</t>
  </si>
  <si>
    <t>Outstanding adaptation. Resources consistently engaging, creative, age appropriate. Deep understanding of learner needs and pedagogy.</t>
  </si>
  <si>
    <t>Design Documentation</t>
  </si>
  <si>
    <t>No evidence of planning. No sketches, storyboards, or rationale.</t>
  </si>
  <si>
    <t>Very basic planning (single sketch/outline). Little explanation of choices. Weak alignment to artefact.</t>
  </si>
  <si>
    <t>Some documentation (storyboard, outline, flowchart). Justification present but underdeveloped.</t>
  </si>
  <si>
    <t>Good quality documentation (wireframes, storyboards, prototypes). Clear rationale, links to research. Organised process.</t>
  </si>
  <si>
    <t>Comprehensive, professional documentation. Multiple artefacts (iterations, prototypes). Evidence of iterative design. Excellent justification linking research to design.</t>
  </si>
  <si>
    <t>Legal &amp; Ethical Considerations</t>
  </si>
  <si>
    <t>No awareness of ethics/legal issues. Work biased, exclusionary, or inappropriate.</t>
  </si>
  <si>
    <t>Minimal acknowledgement, generic statements (e.g., “AI has bias”). No application to project.</t>
  </si>
  <si>
    <t>Some awareness (bias, inclusivity, accessibility). Application weak or inconsistent.</t>
  </si>
  <si>
    <t>Good awareness of ethics and inclusivity. Resources fair, age-appropriate, accessible. Applied well to design.</t>
  </si>
  <si>
    <t>Excellent, critical awareness of ethics/legal issues. Thoughtful, consistent consideration of inclusivity, accessibility, and bias integrated into design and evaluation.</t>
  </si>
  <si>
    <t>Evidence of Built Project</t>
  </si>
  <si>
    <t>No artefact produced or evidence missing. Artefact irrelevant or incomplete.</t>
  </si>
  <si>
    <t>Artefact incomplete or poorly executed. Limited or unclear link to design docs.</t>
  </si>
  <si>
    <t>Functional artefact but basic. Limited creativity or polish. Some link to design documentation.</t>
  </si>
  <si>
    <t>Complete, functional, engaging artefact. Clear alignment with design documentation. Creative and usable.</t>
  </si>
  <si>
    <t>Highly polished, professional artefact. Creative, engaging, excellent execution. Strong documentation link. High usability and fit for purpose.</t>
  </si>
  <si>
    <t>Future Work</t>
  </si>
  <si>
    <t>No discussion of improvements. Work presented as “finished”.</t>
  </si>
  <si>
    <t>Minimal acknowledgement. Suggestions vague or unrealistic.</t>
  </si>
  <si>
    <t>Some recognition of limitations. Basic or generic suggestions.</t>
  </si>
  <si>
    <t>Clear recognition of strengths/weaknesses. Realistic, constructive improvements proposed.</t>
  </si>
  <si>
    <t>Critical and forward-thinking. Innovative suggestions for development. Strong awareness of limitations and growth potential.</t>
  </si>
  <si>
    <t>Individual Reflection</t>
  </si>
  <si>
    <t>No reflection submitted. Or purely descriptive (“I did X”) with no insight.</t>
  </si>
  <si>
    <t>Minimal reflection. Role vague. Little honesty or evidence of learning. Weak evaluation.</t>
  </si>
  <si>
    <t>Some reflection. Role described. Mentions skills but limited depth or critique.</t>
  </si>
  <si>
    <t>Honest, thoughtful reflection. Clear description of role, contribution, skills. Good evaluation of progress.</t>
  </si>
  <si>
    <t>Excellent, highly self-aware reflection. Deep critical evaluation of role, contribution, and skills. Strong evidence of personal/professional development.</t>
  </si>
  <si>
    <t>Total</t>
  </si>
  <si>
    <t>st20339878</t>
  </si>
  <si>
    <t>Should be using Passive voice, not first-person. The language used here is quite opaque. It is better to use clearer terms where possible. What are 'everyday legacies'? Do you mean apps? Why not just say applications? It isn't clear from this what you're actually making - there is some justification evident, but it is not clearly defined in the writing.</t>
  </si>
  <si>
    <r>
      <t xml:space="preserve">In the first sentence you mention teenagers and in the next it switches to children - You could really have used some definition of terms here. Repetition of sources from the Introduction. If you are mentioning an author in-text, don't format it as you would in a reference: 'Research by Richardson (2023)...' Do not include the initials. You cite one study there on gamification but there are a lot more, both for and against. What's even more interesting about that article is that Chen and Zhang didn't write it - it was authored by Nino </t>
    </r>
    <r>
      <rPr>
        <i/>
        <sz val="12"/>
        <color theme="1"/>
        <rFont val="Aptos Narrow"/>
        <family val="2"/>
        <scheme val="minor"/>
      </rPr>
      <t>et al</t>
    </r>
    <r>
      <rPr>
        <sz val="12"/>
        <color theme="1"/>
        <rFont val="Aptos Narrow"/>
        <family val="2"/>
        <scheme val="minor"/>
      </rPr>
      <t xml:space="preserve"> in the Journal of Research in Childhood Education. At least the title was right, if nothing else. Incorrect references are often a symptom of Gen-AI.</t>
    </r>
  </si>
  <si>
    <t>Again, a lack of clarity, largely  through poor choice of phrasing. This is less about pedagogal strategies and more about understanding the lived experience of a 12-14 year old. This is where you'd be utilising the Character profiles and empathy maps. Surely social evaluation only matters if the experience is a shared one? Even in a classroom setting, how this is handled would be up to the teacher.</t>
  </si>
  <si>
    <t>You have covered some areas but, yet again, using very unclear language. Also, in Privacy and Data Protection - Who is Hackman?! I wish there had been more thought and discussion around potential issues such as scams, fraud and other things that young adults using Gen-AI may fall foul of. I feel a disconnect here with the project.</t>
  </si>
  <si>
    <t>The slides are good, but it's a little short and very easy to gamify (all the correct answers are on the right), so it could be argued that the user would gain little understanding or comprehension from it. The interactive nature is very light, and I would argue that there is little gamification above a very easy quiz. Case studies and more thought-provoking challenges may be more suitable. This feels like it is pitched for a younger audience. It is complete and usable, but I don't feel it matches up to what was being described in the research aims.</t>
  </si>
  <si>
    <t xml:space="preserve">Again, non-existent reference to Shatri! Some things suggested, such as a deeper, more interactive branching story; which could have been done here with more time and attention. I think there are smaller, more achievable improvements that could be made first, such as implementing case studies or a more considered approach to gamification. </t>
  </si>
  <si>
    <t>The research you have cited  by Shatri and Lediana Shala is not listed in your references. No sketches, plans or storyboard. Very weak rationale with little new research. There is a lot of repetition of sources in this document.</t>
  </si>
  <si>
    <t xml:space="preserve">Some useful points raised here but little reflecting on the experience overall. How did it improve your communication and teamwork? Were these areas tat had been an issue for you previously? How did you develop this over the course of the module? How would you approach the next group work?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</si>
</sst>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b/>
      <sz val="12"/>
      <color rgb="FF000000"/>
      <name val="Times New Roman"/>
      <family val="1"/>
    </font>
    <font>
      <sz val="12"/>
      <color rgb="FF000000"/>
      <name val="Times New Roman"/>
      <family val="1"/>
    </font>
    <font>
      <sz val="11"/>
      <color rgb="FF000000"/>
      <name val="Calibri"/>
      <family val="2"/>
    </font>
    <font>
      <b/>
      <sz val="14"/>
      <color rgb="FF000000"/>
      <name val="Times New Roman"/>
      <family val="1"/>
    </font>
    <font>
      <b/>
      <sz val="16"/>
      <color theme="1"/>
      <name val="Aptos Narrow"/>
      <scheme val="minor"/>
    </font>
    <font>
      <sz val="16"/>
      <color theme="1"/>
      <name val="Aptos Narrow"/>
      <scheme val="minor"/>
    </font>
    <font>
      <i/>
      <sz val="12"/>
      <color theme="1"/>
      <name val="Aptos Narrow"/>
      <family val="2"/>
      <scheme val="minor"/>
    </font>
  </fonts>
  <fills count="5">
    <fill>
      <patternFill patternType="none"/>
    </fill>
    <fill>
      <patternFill patternType="gray125"/>
    </fill>
    <fill>
      <patternFill patternType="solid">
        <fgColor theme="7" tint="0.59999389629810485"/>
        <bgColor indexed="64"/>
      </patternFill>
    </fill>
    <fill>
      <patternFill patternType="solid">
        <fgColor theme="0" tint="-0.14999847407452621"/>
        <bgColor indexed="64"/>
      </patternFill>
    </fill>
    <fill>
      <patternFill patternType="solid">
        <fgColor rgb="FFFFFF00"/>
        <bgColor indexed="64"/>
      </patternFill>
    </fill>
  </fills>
  <borders count="9">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s>
  <cellStyleXfs count="1">
    <xf numFmtId="0" fontId="0" fillId="0" borderId="0"/>
  </cellStyleXfs>
  <cellXfs count="26">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1" fillId="0" borderId="6" xfId="0" applyFont="1" applyBorder="1" applyAlignment="1">
      <alignment vertical="center" wrapText="1"/>
    </xf>
    <xf numFmtId="0" fontId="2" fillId="0" borderId="6" xfId="0" applyFont="1" applyBorder="1" applyAlignment="1">
      <alignment vertical="center" wrapText="1"/>
    </xf>
    <xf numFmtId="9" fontId="1" fillId="0" borderId="0" xfId="0" applyNumberFormat="1" applyFont="1" applyAlignment="1">
      <alignment vertical="center" wrapText="1"/>
    </xf>
    <xf numFmtId="0" fontId="1" fillId="2" borderId="6" xfId="0" applyFont="1" applyFill="1" applyBorder="1" applyAlignment="1">
      <alignment vertical="center" wrapText="1"/>
    </xf>
    <xf numFmtId="9" fontId="4" fillId="3" borderId="6" xfId="0" applyNumberFormat="1" applyFont="1" applyFill="1" applyBorder="1" applyAlignment="1">
      <alignment horizontal="center" vertical="center" wrapText="1"/>
    </xf>
    <xf numFmtId="0" fontId="1" fillId="2" borderId="7" xfId="0" applyFont="1" applyFill="1" applyBorder="1" applyAlignment="1">
      <alignment vertical="center" wrapText="1"/>
    </xf>
    <xf numFmtId="0" fontId="6" fillId="0" borderId="0" xfId="0" applyFont="1"/>
    <xf numFmtId="0" fontId="5" fillId="0" borderId="0" xfId="0" applyFont="1" applyAlignment="1">
      <alignment horizontal="center"/>
    </xf>
    <xf numFmtId="0" fontId="6" fillId="0" borderId="0" xfId="0" applyFont="1" applyAlignment="1">
      <alignment horizontal="center"/>
    </xf>
    <xf numFmtId="0" fontId="4" fillId="3" borderId="6" xfId="0" applyFont="1" applyFill="1" applyBorder="1" applyAlignment="1">
      <alignment horizontal="center" vertical="center" wrapText="1"/>
    </xf>
    <xf numFmtId="0" fontId="1" fillId="2" borderId="6" xfId="0" applyFont="1" applyFill="1" applyBorder="1" applyAlignment="1">
      <alignment vertical="center" wrapText="1"/>
    </xf>
    <xf numFmtId="0" fontId="5" fillId="0" borderId="1" xfId="0" applyFont="1" applyBorder="1" applyAlignment="1">
      <alignment horizontal="center"/>
    </xf>
    <xf numFmtId="0" fontId="5" fillId="0" borderId="8"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5" fillId="0" borderId="5" xfId="0" applyFont="1" applyBorder="1" applyAlignment="1">
      <alignment horizontal="center"/>
    </xf>
    <xf numFmtId="0" fontId="6" fillId="0" borderId="3" xfId="0" applyFont="1" applyBorder="1" applyAlignment="1">
      <alignment horizontal="center"/>
    </xf>
    <xf numFmtId="0" fontId="6" fillId="0" borderId="4" xfId="0" applyFont="1" applyBorder="1" applyAlignment="1">
      <alignment horizontal="center"/>
    </xf>
    <xf numFmtId="0" fontId="0" fillId="0" borderId="6" xfId="0" applyBorder="1" applyAlignment="1">
      <alignment horizontal="center" vertical="center"/>
    </xf>
    <xf numFmtId="0" fontId="0" fillId="0" borderId="6" xfId="0" applyBorder="1" applyAlignment="1">
      <alignment horizontal="left" vertical="top" wrapText="1"/>
    </xf>
    <xf numFmtId="0" fontId="2" fillId="4" borderId="6" xfId="0" applyFont="1" applyFill="1" applyBorder="1" applyAlignment="1">
      <alignment vertical="center" wrapText="1"/>
    </xf>
    <xf numFmtId="0" fontId="2" fillId="0" borderId="6"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534A4-ACAF-0547-8A21-CD549B8BF81E}">
  <dimension ref="A1:O14"/>
  <sheetViews>
    <sheetView tabSelected="1" workbookViewId="0">
      <selection activeCell="L17" sqref="L16:L17"/>
    </sheetView>
  </sheetViews>
  <sheetFormatPr defaultColWidth="11" defaultRowHeight="15.6" x14ac:dyDescent="0.3"/>
  <cols>
    <col min="3" max="3" width="7.3984375" bestFit="1" customWidth="1"/>
    <col min="4" max="4" width="22.59765625" customWidth="1"/>
    <col min="5" max="5" width="18.8984375" customWidth="1"/>
    <col min="6" max="6" width="19.3984375" customWidth="1"/>
    <col min="7" max="7" width="21.5" customWidth="1"/>
    <col min="8" max="8" width="29" customWidth="1"/>
    <col min="10" max="10" width="38" customWidth="1"/>
  </cols>
  <sheetData>
    <row r="1" spans="1:15" ht="16.2" thickBot="1" x14ac:dyDescent="0.35"/>
    <row r="2" spans="1:15" ht="21.6" thickBot="1" x14ac:dyDescent="0.45">
      <c r="D2" s="15" t="s">
        <v>0</v>
      </c>
      <c r="E2" s="16"/>
      <c r="F2" s="16"/>
      <c r="G2" s="16"/>
      <c r="H2" s="17"/>
    </row>
    <row r="3" spans="1:15" ht="21.6" thickBot="1" x14ac:dyDescent="0.45">
      <c r="D3" s="18" t="s">
        <v>1</v>
      </c>
      <c r="E3" s="19"/>
      <c r="F3" s="20" t="s">
        <v>60</v>
      </c>
      <c r="G3" s="21"/>
      <c r="H3" s="10"/>
    </row>
    <row r="4" spans="1:15" ht="21" x14ac:dyDescent="0.4">
      <c r="D4" s="11"/>
      <c r="E4" s="11"/>
      <c r="F4" s="12"/>
      <c r="G4" s="12"/>
      <c r="H4" s="10"/>
    </row>
    <row r="5" spans="1:15" x14ac:dyDescent="0.3">
      <c r="A5" s="14" t="s">
        <v>2</v>
      </c>
      <c r="B5" s="14"/>
      <c r="C5" s="7" t="s">
        <v>3</v>
      </c>
      <c r="D5" s="9" t="s">
        <v>4</v>
      </c>
      <c r="E5" s="9" t="s">
        <v>5</v>
      </c>
      <c r="F5" s="9" t="s">
        <v>6</v>
      </c>
      <c r="G5" s="9" t="s">
        <v>7</v>
      </c>
      <c r="H5" s="7" t="s">
        <v>8</v>
      </c>
      <c r="I5" s="7" t="s">
        <v>9</v>
      </c>
      <c r="J5" s="7" t="s">
        <v>10</v>
      </c>
    </row>
    <row r="6" spans="1:15" ht="140.4" x14ac:dyDescent="0.3">
      <c r="A6" s="13" t="s">
        <v>11</v>
      </c>
      <c r="B6" s="13"/>
      <c r="C6" s="8">
        <v>0.05</v>
      </c>
      <c r="D6" s="5" t="s">
        <v>12</v>
      </c>
      <c r="E6" s="5" t="s">
        <v>13</v>
      </c>
      <c r="F6" s="25" t="s">
        <v>14</v>
      </c>
      <c r="G6" s="24" t="s">
        <v>15</v>
      </c>
      <c r="H6" s="5" t="s">
        <v>16</v>
      </c>
      <c r="I6" s="22">
        <v>4</v>
      </c>
      <c r="J6" s="23" t="s">
        <v>61</v>
      </c>
    </row>
    <row r="7" spans="1:15" ht="249.6" x14ac:dyDescent="0.3">
      <c r="A7" s="13" t="s">
        <v>17</v>
      </c>
      <c r="B7" s="13"/>
      <c r="C7" s="8">
        <v>0.15</v>
      </c>
      <c r="D7" s="5" t="s">
        <v>18</v>
      </c>
      <c r="E7" s="5" t="s">
        <v>19</v>
      </c>
      <c r="F7" s="24" t="s">
        <v>20</v>
      </c>
      <c r="G7" s="5" t="s">
        <v>21</v>
      </c>
      <c r="H7" s="5" t="s">
        <v>22</v>
      </c>
      <c r="I7" s="22">
        <v>7</v>
      </c>
      <c r="J7" s="23" t="s">
        <v>62</v>
      </c>
    </row>
    <row r="8" spans="1:15" ht="156" x14ac:dyDescent="0.3">
      <c r="A8" s="13" t="s">
        <v>23</v>
      </c>
      <c r="B8" s="13"/>
      <c r="C8" s="8">
        <v>0.15</v>
      </c>
      <c r="D8" s="5" t="s">
        <v>24</v>
      </c>
      <c r="E8" s="5" t="s">
        <v>25</v>
      </c>
      <c r="F8" s="24" t="s">
        <v>26</v>
      </c>
      <c r="G8" s="5" t="s">
        <v>27</v>
      </c>
      <c r="H8" s="5" t="s">
        <v>28</v>
      </c>
      <c r="I8" s="22">
        <v>7</v>
      </c>
      <c r="J8" s="23" t="s">
        <v>63</v>
      </c>
    </row>
    <row r="9" spans="1:15" ht="109.2" x14ac:dyDescent="0.3">
      <c r="A9" s="13" t="s">
        <v>29</v>
      </c>
      <c r="B9" s="13"/>
      <c r="C9" s="8">
        <v>0.15</v>
      </c>
      <c r="D9" s="24" t="s">
        <v>30</v>
      </c>
      <c r="E9" s="24" t="s">
        <v>31</v>
      </c>
      <c r="F9" s="5" t="s">
        <v>32</v>
      </c>
      <c r="G9" s="5" t="s">
        <v>33</v>
      </c>
      <c r="H9" s="5" t="s">
        <v>34</v>
      </c>
      <c r="I9" s="22">
        <v>6</v>
      </c>
      <c r="J9" s="23" t="s">
        <v>67</v>
      </c>
    </row>
    <row r="10" spans="1:15" ht="124.8" x14ac:dyDescent="0.3">
      <c r="A10" s="13" t="s">
        <v>35</v>
      </c>
      <c r="B10" s="13"/>
      <c r="C10" s="8">
        <v>0.1</v>
      </c>
      <c r="D10" s="5" t="s">
        <v>36</v>
      </c>
      <c r="E10" s="5" t="s">
        <v>37</v>
      </c>
      <c r="F10" s="24" t="s">
        <v>38</v>
      </c>
      <c r="G10" s="5" t="s">
        <v>39</v>
      </c>
      <c r="H10" s="5" t="s">
        <v>40</v>
      </c>
      <c r="I10" s="22">
        <v>5</v>
      </c>
      <c r="J10" s="23" t="s">
        <v>64</v>
      </c>
    </row>
    <row r="11" spans="1:15" ht="202.8" x14ac:dyDescent="0.3">
      <c r="A11" s="13" t="s">
        <v>41</v>
      </c>
      <c r="B11" s="13"/>
      <c r="C11" s="8">
        <v>0.2</v>
      </c>
      <c r="D11" s="5" t="s">
        <v>42</v>
      </c>
      <c r="E11" s="5" t="s">
        <v>43</v>
      </c>
      <c r="F11" s="24" t="s">
        <v>44</v>
      </c>
      <c r="G11" s="24" t="s">
        <v>45</v>
      </c>
      <c r="H11" s="5" t="s">
        <v>46</v>
      </c>
      <c r="I11" s="22">
        <v>11</v>
      </c>
      <c r="J11" s="23" t="s">
        <v>65</v>
      </c>
    </row>
    <row r="12" spans="1:15" ht="124.8" x14ac:dyDescent="0.3">
      <c r="A12" s="13" t="s">
        <v>47</v>
      </c>
      <c r="B12" s="13"/>
      <c r="C12" s="8">
        <v>0.05</v>
      </c>
      <c r="D12" s="5" t="s">
        <v>48</v>
      </c>
      <c r="E12" s="5" t="s">
        <v>49</v>
      </c>
      <c r="F12" s="24" t="s">
        <v>50</v>
      </c>
      <c r="G12" s="5" t="s">
        <v>51</v>
      </c>
      <c r="H12" s="5" t="s">
        <v>52</v>
      </c>
      <c r="I12" s="22">
        <v>3</v>
      </c>
      <c r="J12" s="23" t="s">
        <v>66</v>
      </c>
    </row>
    <row r="13" spans="1:15" ht="109.2" x14ac:dyDescent="0.3">
      <c r="A13" s="13" t="s">
        <v>53</v>
      </c>
      <c r="B13" s="13"/>
      <c r="C13" s="8">
        <v>0.15</v>
      </c>
      <c r="D13" s="5" t="s">
        <v>54</v>
      </c>
      <c r="E13" s="24" t="s">
        <v>55</v>
      </c>
      <c r="F13" s="24" t="s">
        <v>56</v>
      </c>
      <c r="G13" s="5" t="s">
        <v>57</v>
      </c>
      <c r="H13" s="5" t="s">
        <v>58</v>
      </c>
      <c r="I13" s="22">
        <v>6</v>
      </c>
      <c r="J13" s="23" t="s">
        <v>68</v>
      </c>
    </row>
    <row r="14" spans="1:15" ht="15.9" customHeight="1" x14ac:dyDescent="0.3">
      <c r="A14" s="1"/>
      <c r="B14" s="1"/>
      <c r="C14" s="6"/>
      <c r="D14" s="1"/>
      <c r="E14" s="1"/>
      <c r="F14" s="1"/>
      <c r="G14" s="1"/>
      <c r="H14" s="4" t="s">
        <v>59</v>
      </c>
      <c r="I14" s="4">
        <f>SUM(I6:I13)</f>
        <v>49</v>
      </c>
      <c r="J14" s="2"/>
      <c r="K14" s="3"/>
      <c r="L14" s="3"/>
      <c r="M14" s="3"/>
      <c r="N14" s="3"/>
      <c r="O14" s="3"/>
    </row>
  </sheetData>
  <mergeCells count="12">
    <mergeCell ref="D2:H2"/>
    <mergeCell ref="D3:E3"/>
    <mergeCell ref="F3:G3"/>
    <mergeCell ref="A11:B11"/>
    <mergeCell ref="A12:B12"/>
    <mergeCell ref="A13:B13"/>
    <mergeCell ref="A5:B5"/>
    <mergeCell ref="A6:B6"/>
    <mergeCell ref="A7:B7"/>
    <mergeCell ref="A8:B8"/>
    <mergeCell ref="A9:B9"/>
    <mergeCell ref="A10:B10"/>
  </mergeCells>
  <dataValidations count="5">
    <dataValidation type="decimal" allowBlank="1" showInputMessage="1" showErrorMessage="1" sqref="I12 I6" xr:uid="{C6B0B0DF-725F-6848-8E60-111E53B74E21}">
      <formula1>0</formula1>
      <formula2>5</formula2>
    </dataValidation>
    <dataValidation type="decimal" allowBlank="1" showInputMessage="1" showErrorMessage="1" sqref="I13 I7:I9" xr:uid="{38955329-2F37-5442-A98B-3F2606B718D6}">
      <formula1>0</formula1>
      <formula2>15</formula2>
    </dataValidation>
    <dataValidation type="decimal" allowBlank="1" showInputMessage="1" showErrorMessage="1" sqref="I10" xr:uid="{6FA841A3-B0F0-1D46-94C9-5ADCE5927856}">
      <formula1>0</formula1>
      <formula2>10</formula2>
    </dataValidation>
    <dataValidation type="decimal" allowBlank="1" showInputMessage="1" showErrorMessage="1" sqref="I11" xr:uid="{021DA0E1-7C0A-2E47-8E37-66307C4D01C2}">
      <formula1>0</formula1>
      <formula2>20</formula2>
    </dataValidation>
    <dataValidation type="decimal" allowBlank="1" showInputMessage="1" showErrorMessage="1" sqref="I14" xr:uid="{080237B6-8B52-264B-AAD1-E02C01F511E8}">
      <formula1>0</formula1>
      <formula2>100</formula2>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Joel Pinney</dc:creator>
  <cp:keywords/>
  <dc:description/>
  <cp:lastModifiedBy>Smith, Ian</cp:lastModifiedBy>
  <cp:revision/>
  <dcterms:created xsi:type="dcterms:W3CDTF">2025-12-11T10:49:02Z</dcterms:created>
  <dcterms:modified xsi:type="dcterms:W3CDTF">2026-01-12T17:07:53Z</dcterms:modified>
  <cp:category/>
  <cp:contentStatus/>
</cp:coreProperties>
</file>