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G:\2025_26\T1\GDV5002\Marking\"/>
    </mc:Choice>
  </mc:AlternateContent>
  <xr:revisionPtr revIDLastSave="0" documentId="13_ncr:1_{1B7665D7-413F-4FE0-9966-8ECE481DB4C9}" xr6:coauthVersionLast="47" xr6:coauthVersionMax="47" xr10:uidLastSave="{00000000-0000-0000-0000-000000000000}"/>
  <bookViews>
    <workbookView xWindow="38290" yWindow="-110" windowWidth="38620" windowHeight="211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1" l="1"/>
  <c r="D24" i="1"/>
  <c r="C24" i="1"/>
  <c r="B24" i="1"/>
</calcChain>
</file>

<file path=xl/sharedStrings.xml><?xml version="1.0" encoding="utf-8"?>
<sst xmlns="http://schemas.openxmlformats.org/spreadsheetml/2006/main" count="60" uniqueCount="34">
  <si>
    <t>Student Name</t>
  </si>
  <si>
    <t>Student ID</t>
  </si>
  <si>
    <t>PORT1 1st Mark</t>
  </si>
  <si>
    <t>IV Agreed Y/N</t>
  </si>
  <si>
    <t>Agreed Mark</t>
  </si>
  <si>
    <t>Khalid Abdi</t>
  </si>
  <si>
    <t>Waleed Alshukri</t>
  </si>
  <si>
    <t>Rico Barrett-Greening</t>
  </si>
  <si>
    <t>Shaun Coburn</t>
  </si>
  <si>
    <t>Tyler Dasic</t>
  </si>
  <si>
    <t>Phil Dicken</t>
  </si>
  <si>
    <t>Andy Flynn</t>
  </si>
  <si>
    <t>Ryan Grant</t>
  </si>
  <si>
    <t>Tom Hannam</t>
  </si>
  <si>
    <t>Ethan Hoare</t>
  </si>
  <si>
    <t>Miranda Jenik</t>
  </si>
  <si>
    <t>Lara Lowndes</t>
  </si>
  <si>
    <t>Matthew Morrisey</t>
  </si>
  <si>
    <t>Spencer Nichols</t>
  </si>
  <si>
    <t>Jay Robertson</t>
  </si>
  <si>
    <t>Jacob Smith</t>
  </si>
  <si>
    <t>Kosa Taylor</t>
  </si>
  <si>
    <t>Vilius Vaicekaukas</t>
  </si>
  <si>
    <t>D</t>
  </si>
  <si>
    <t>Selected for IV</t>
  </si>
  <si>
    <t>NS</t>
  </si>
  <si>
    <t>Y</t>
  </si>
  <si>
    <t>1st</t>
  </si>
  <si>
    <t>Upper 2nd</t>
  </si>
  <si>
    <t>Lower 2nd</t>
  </si>
  <si>
    <t xml:space="preserve">3rd </t>
  </si>
  <si>
    <t>Fail</t>
  </si>
  <si>
    <t xml:space="preserve">Deferral </t>
  </si>
  <si>
    <t xml:space="preserve">Number of Students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</si>
</sst>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4" borderId="0" xfId="0" applyFill="1"/>
    <xf numFmtId="0" fontId="0" fillId="4" borderId="0" xfId="0" applyFill="1" applyAlignment="1">
      <alignment horizontal="right" vertical="center"/>
    </xf>
    <xf numFmtId="0" fontId="0" fillId="5" borderId="0" xfId="0" applyFill="1"/>
    <xf numFmtId="0" fontId="0" fillId="5" borderId="0" xfId="0" applyFill="1" applyAlignment="1">
      <alignment horizontal="right" vertical="center"/>
    </xf>
    <xf numFmtId="0" fontId="0" fillId="5" borderId="0" xfId="0" applyFill="1" applyAlignment="1">
      <alignment horizontal="center" vertical="center"/>
    </xf>
    <xf numFmtId="0" fontId="0" fillId="6" borderId="0" xfId="0" applyFill="1"/>
    <xf numFmtId="0" fontId="0" fillId="6" borderId="0" xfId="0" applyFill="1" applyAlignment="1">
      <alignment horizontal="right" vertical="center"/>
    </xf>
    <xf numFmtId="0" fontId="0" fillId="6" borderId="0" xfId="0" applyFill="1" applyAlignment="1">
      <alignment horizontal="center" vertical="center"/>
    </xf>
    <xf numFmtId="0" fontId="0" fillId="7" borderId="0" xfId="0" applyFill="1"/>
    <xf numFmtId="0" fontId="0" fillId="7" borderId="0" xfId="0" applyFill="1" applyAlignment="1">
      <alignment horizontal="right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horizontal="right" vertical="center"/>
    </xf>
    <xf numFmtId="0" fontId="0" fillId="8" borderId="0" xfId="0" applyFill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right" vertical="center"/>
    </xf>
    <xf numFmtId="0" fontId="0" fillId="3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9" borderId="0" xfId="0" applyFill="1"/>
    <xf numFmtId="0" fontId="0" fillId="9" borderId="0" xfId="0" applyFill="1" applyAlignment="1">
      <alignment horizontal="right" vertical="center"/>
    </xf>
    <xf numFmtId="0" fontId="0" fillId="9" borderId="0" xfId="0" applyFill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0" borderId="0" xfId="0" applyAlignment="1">
      <alignment horizontal="center"/>
    </xf>
    <xf numFmtId="22" fontId="0" fillId="0" borderId="0" xfId="0" applyNumberFormat="1" applyAlignment="1">
      <alignment horizontal="center"/>
    </xf>
    <xf numFmtId="0" fontId="0" fillId="7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right" vertical="center"/>
    </xf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20" fontId="0" fillId="6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8"/>
  <sheetViews>
    <sheetView tabSelected="1" workbookViewId="0">
      <selection activeCell="D20" sqref="D20"/>
    </sheetView>
  </sheetViews>
  <sheetFormatPr defaultRowHeight="14.4" x14ac:dyDescent="0.3"/>
  <cols>
    <col min="1" max="1" width="20.33203125" customWidth="1"/>
    <col min="2" max="2" width="12.109375" customWidth="1"/>
    <col min="3" max="3" width="15.109375" customWidth="1"/>
    <col min="4" max="4" width="14.109375" customWidth="1"/>
    <col min="5" max="5" width="14" customWidth="1"/>
    <col min="6" max="6" width="13.5546875" customWidth="1"/>
  </cols>
  <sheetData>
    <row r="1" spans="1:6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24</v>
      </c>
    </row>
    <row r="2" spans="1:6" x14ac:dyDescent="0.3">
      <c r="A2" s="21" t="s">
        <v>5</v>
      </c>
      <c r="B2" s="22">
        <v>20233368</v>
      </c>
      <c r="C2" s="23">
        <v>14</v>
      </c>
      <c r="D2" s="23" t="s">
        <v>26</v>
      </c>
      <c r="E2" s="23">
        <v>14</v>
      </c>
      <c r="F2" s="29"/>
    </row>
    <row r="3" spans="1:6" x14ac:dyDescent="0.3">
      <c r="A3" s="12" t="s">
        <v>6</v>
      </c>
      <c r="B3" s="13">
        <v>20280796</v>
      </c>
      <c r="C3" s="14">
        <v>55</v>
      </c>
      <c r="D3" s="14" t="s">
        <v>26</v>
      </c>
      <c r="E3" s="14">
        <v>55</v>
      </c>
      <c r="F3" s="27"/>
    </row>
    <row r="4" spans="1:6" x14ac:dyDescent="0.3">
      <c r="A4" s="6" t="s">
        <v>7</v>
      </c>
      <c r="B4" s="7">
        <v>20300362</v>
      </c>
      <c r="C4" s="8">
        <v>87</v>
      </c>
      <c r="D4" s="8" t="s">
        <v>26</v>
      </c>
      <c r="E4" s="8">
        <v>87</v>
      </c>
      <c r="F4" s="25"/>
    </row>
    <row r="5" spans="1:6" x14ac:dyDescent="0.3">
      <c r="A5" s="12" t="s">
        <v>8</v>
      </c>
      <c r="B5" s="13">
        <v>20306441</v>
      </c>
      <c r="C5" s="14">
        <v>59</v>
      </c>
      <c r="D5" s="14" t="s">
        <v>26</v>
      </c>
      <c r="E5" s="14">
        <v>59</v>
      </c>
      <c r="F5" s="27"/>
    </row>
    <row r="6" spans="1:6" x14ac:dyDescent="0.3">
      <c r="A6" s="12" t="s">
        <v>9</v>
      </c>
      <c r="B6" s="13">
        <v>20298170</v>
      </c>
      <c r="C6" s="14">
        <v>58</v>
      </c>
      <c r="D6" s="14" t="s">
        <v>26</v>
      </c>
      <c r="E6" s="14">
        <v>58</v>
      </c>
      <c r="F6" s="24"/>
    </row>
    <row r="7" spans="1:6" x14ac:dyDescent="0.3">
      <c r="A7" s="6" t="s">
        <v>10</v>
      </c>
      <c r="B7" s="7">
        <v>20243006</v>
      </c>
      <c r="C7" s="8">
        <v>84</v>
      </c>
      <c r="D7" s="8" t="s">
        <v>26</v>
      </c>
      <c r="E7" s="8">
        <v>84</v>
      </c>
      <c r="F7" s="24"/>
    </row>
    <row r="8" spans="1:6" x14ac:dyDescent="0.3">
      <c r="A8" s="9" t="s">
        <v>11</v>
      </c>
      <c r="B8" s="10">
        <v>20270504</v>
      </c>
      <c r="C8" s="11">
        <v>65</v>
      </c>
      <c r="D8" s="11" t="s">
        <v>26</v>
      </c>
      <c r="E8" s="11">
        <v>65</v>
      </c>
      <c r="F8" s="26"/>
    </row>
    <row r="9" spans="1:6" x14ac:dyDescent="0.3">
      <c r="A9" s="12" t="s">
        <v>12</v>
      </c>
      <c r="B9" s="13">
        <v>20298337</v>
      </c>
      <c r="C9" s="14">
        <v>58</v>
      </c>
      <c r="D9" s="14" t="s">
        <v>26</v>
      </c>
      <c r="E9" s="14">
        <v>58</v>
      </c>
      <c r="F9" s="27"/>
    </row>
    <row r="10" spans="1:6" x14ac:dyDescent="0.3">
      <c r="A10" s="30" t="s">
        <v>13</v>
      </c>
      <c r="B10" s="31">
        <v>20234956</v>
      </c>
      <c r="C10" s="32" t="s">
        <v>23</v>
      </c>
      <c r="D10" s="32" t="s">
        <v>26</v>
      </c>
      <c r="E10" s="32" t="s">
        <v>23</v>
      </c>
      <c r="F10" s="24"/>
    </row>
    <row r="11" spans="1:6" x14ac:dyDescent="0.3">
      <c r="A11" s="17" t="s">
        <v>14</v>
      </c>
      <c r="B11" s="18">
        <v>20271423</v>
      </c>
      <c r="C11" s="19" t="s">
        <v>25</v>
      </c>
      <c r="D11" s="19" t="s">
        <v>26</v>
      </c>
      <c r="E11" s="19" t="s">
        <v>25</v>
      </c>
      <c r="F11" s="24"/>
    </row>
    <row r="12" spans="1:6" x14ac:dyDescent="0.3">
      <c r="A12" s="6" t="s">
        <v>15</v>
      </c>
      <c r="B12" s="7">
        <v>20270436</v>
      </c>
      <c r="C12" s="8">
        <v>84</v>
      </c>
      <c r="D12" s="8" t="s">
        <v>26</v>
      </c>
      <c r="E12" s="8">
        <v>84</v>
      </c>
      <c r="F12" s="25"/>
    </row>
    <row r="13" spans="1:6" x14ac:dyDescent="0.3">
      <c r="A13" s="6" t="s">
        <v>16</v>
      </c>
      <c r="B13" s="7">
        <v>20332392</v>
      </c>
      <c r="C13" s="8">
        <v>85</v>
      </c>
      <c r="D13" s="8" t="s">
        <v>26</v>
      </c>
      <c r="E13" s="8">
        <v>85</v>
      </c>
      <c r="F13" s="25"/>
    </row>
    <row r="14" spans="1:6" x14ac:dyDescent="0.3">
      <c r="A14" s="6" t="s">
        <v>17</v>
      </c>
      <c r="B14" s="7">
        <v>20296493</v>
      </c>
      <c r="C14" s="8">
        <v>74</v>
      </c>
      <c r="D14" s="8" t="s">
        <v>26</v>
      </c>
      <c r="E14" s="8">
        <v>74</v>
      </c>
      <c r="F14" s="25"/>
    </row>
    <row r="15" spans="1:6" x14ac:dyDescent="0.3">
      <c r="A15" s="30" t="s">
        <v>18</v>
      </c>
      <c r="B15" s="31">
        <v>20305402</v>
      </c>
      <c r="C15" s="32" t="s">
        <v>23</v>
      </c>
      <c r="D15" s="32" t="s">
        <v>26</v>
      </c>
      <c r="E15" s="32" t="s">
        <v>23</v>
      </c>
      <c r="F15" s="24"/>
    </row>
    <row r="16" spans="1:6" x14ac:dyDescent="0.3">
      <c r="A16" s="30" t="s">
        <v>19</v>
      </c>
      <c r="B16" s="31">
        <v>20297298</v>
      </c>
      <c r="C16" s="33" t="s">
        <v>23</v>
      </c>
      <c r="D16" s="32" t="s">
        <v>26</v>
      </c>
      <c r="E16" s="33" t="s">
        <v>23</v>
      </c>
      <c r="F16" s="24"/>
    </row>
    <row r="17" spans="1:7" x14ac:dyDescent="0.3">
      <c r="A17" s="9" t="s">
        <v>20</v>
      </c>
      <c r="B17" s="10">
        <v>20293388</v>
      </c>
      <c r="C17" s="15">
        <v>61</v>
      </c>
      <c r="D17" s="11" t="s">
        <v>26</v>
      </c>
      <c r="E17" s="15">
        <v>61</v>
      </c>
      <c r="F17" s="26"/>
    </row>
    <row r="18" spans="1:7" x14ac:dyDescent="0.3">
      <c r="A18" s="17" t="s">
        <v>21</v>
      </c>
      <c r="B18" s="18">
        <v>20289043</v>
      </c>
      <c r="C18" s="20" t="s">
        <v>25</v>
      </c>
      <c r="D18" s="19" t="s">
        <v>26</v>
      </c>
      <c r="E18" s="20" t="s">
        <v>25</v>
      </c>
      <c r="F18" s="24"/>
    </row>
    <row r="19" spans="1:7" x14ac:dyDescent="0.3">
      <c r="A19" s="4" t="s">
        <v>22</v>
      </c>
      <c r="B19" s="5">
        <v>20346504</v>
      </c>
      <c r="C19" s="16">
        <v>45</v>
      </c>
      <c r="D19" s="34" t="s">
        <v>26</v>
      </c>
      <c r="E19" s="16">
        <v>45</v>
      </c>
      <c r="F19" s="28"/>
    </row>
    <row r="20" spans="1:7" x14ac:dyDescent="0.3">
      <c r="A20" s="40"/>
      <c r="B20" s="41"/>
      <c r="C20" s="42"/>
      <c r="D20" s="43"/>
      <c r="E20" s="40"/>
      <c r="F20" s="44"/>
    </row>
    <row r="21" spans="1:7" x14ac:dyDescent="0.3">
      <c r="A21" s="40"/>
      <c r="B21" s="41"/>
      <c r="C21" s="42"/>
      <c r="D21" s="43"/>
      <c r="E21" s="40"/>
      <c r="F21" s="44"/>
    </row>
    <row r="22" spans="1:7" x14ac:dyDescent="0.3">
      <c r="A22" s="40" t="s">
        <v>33</v>
      </c>
      <c r="B22" s="41">
        <v>18</v>
      </c>
      <c r="C22" s="42"/>
      <c r="D22" s="43"/>
      <c r="E22" s="40"/>
      <c r="F22" s="44"/>
      <c r="G22" s="40"/>
    </row>
    <row r="23" spans="1:7" x14ac:dyDescent="0.3">
      <c r="A23" s="35" t="s">
        <v>27</v>
      </c>
      <c r="B23" s="45" t="s">
        <v>28</v>
      </c>
      <c r="C23" s="38" t="s">
        <v>29</v>
      </c>
      <c r="D23" s="16" t="s">
        <v>30</v>
      </c>
      <c r="E23" s="39" t="s">
        <v>31</v>
      </c>
      <c r="F23" s="33" t="s">
        <v>32</v>
      </c>
      <c r="G23" s="20" t="s">
        <v>25</v>
      </c>
    </row>
    <row r="24" spans="1:7" x14ac:dyDescent="0.3">
      <c r="A24" s="35">
        <f xml:space="preserve"> 5</f>
        <v>5</v>
      </c>
      <c r="B24" s="15">
        <f>2</f>
        <v>2</v>
      </c>
      <c r="C24" s="38">
        <f>4</f>
        <v>4</v>
      </c>
      <c r="D24" s="16">
        <f>1</f>
        <v>1</v>
      </c>
      <c r="E24" s="39">
        <v>1</v>
      </c>
      <c r="F24" s="33">
        <v>3</v>
      </c>
      <c r="G24" s="20">
        <v>2</v>
      </c>
    </row>
    <row r="25" spans="1:7" x14ac:dyDescent="0.3">
      <c r="A25" s="37"/>
      <c r="B25" s="3"/>
    </row>
    <row r="26" spans="1:7" x14ac:dyDescent="0.3">
      <c r="A26" s="36"/>
      <c r="B26" s="3"/>
    </row>
    <row r="27" spans="1:7" x14ac:dyDescent="0.3">
      <c r="A27" s="36"/>
      <c r="B27" s="3"/>
    </row>
    <row r="28" spans="1:7" x14ac:dyDescent="0.3">
      <c r="B28" s="3"/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Smith, Ian</dc:creator>
  <cp:lastModifiedBy>Smith, Ian</cp:lastModifiedBy>
  <dcterms:created xsi:type="dcterms:W3CDTF">2015-06-05T18:17:20Z</dcterms:created>
  <dcterms:modified xsi:type="dcterms:W3CDTF">2026-03-04T14:25:23Z</dcterms:modified>
</cp:coreProperties>
</file>